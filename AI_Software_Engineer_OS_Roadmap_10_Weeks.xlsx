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eekly Goals" sheetId="2" state="visible" r:id="rId2"/>
    <sheet name="Daily Tasks" sheetId="3" state="visible" r:id="rId3"/>
    <sheet name="Projects Tracker" sheetId="4" state="visible" r:id="rId4"/>
    <sheet name="Milestones" sheetId="5" state="visible" r:id="rId5"/>
    <sheet name="Interview Prep" sheetId="6" state="visible" r:id="rId6"/>
    <sheet name="LeetCode Tracker" sheetId="7" state="visible" r:id="rId7"/>
    <sheet name="Resources Library" sheetId="8" state="visible" r:id="rId8"/>
    <sheet name="Weekly Metrics" sheetId="9" state="visible" r:id="rId9"/>
    <sheet name="Notes &amp; Journal" sheetId="10" state="visible" r:id="rId10"/>
  </sheets>
  <definedNames>
    <definedName name="_xlnm._FilterDatabase" localSheetId="1" hidden="1">'Weekly Goals'!$A$4:$K$14</definedName>
    <definedName name="_xlnm._FilterDatabase" localSheetId="2" hidden="1">'Daily Tasks'!$A$4:$L$74</definedName>
    <definedName name="_xlnm._FilterDatabase" localSheetId="3" hidden="1">'Projects Tracker'!$A$4:$O$14</definedName>
    <definedName name="_xlnm._FilterDatabase" localSheetId="4" hidden="1">'Milestones'!$A$4:$I$24</definedName>
    <definedName name="_xlnm._FilterDatabase" localSheetId="5" hidden="1">'Interview Prep'!$A$4:$F$59</definedName>
    <definedName name="_xlnm._FilterDatabase" localSheetId="6" hidden="1">'LeetCode Tracker'!$A$4:$I$166</definedName>
    <definedName name="_xlnm._FilterDatabase" localSheetId="7" hidden="1">'Resources Library'!$A$4:$F$26</definedName>
    <definedName name="_xlnm._FilterDatabase" localSheetId="9" hidden="1">'Notes &amp; Journal'!$A$4:$H$74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 &quot;h&quot;"/>
    <numFmt numFmtId="165" formatCode="0.0 &quot;h&quot;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E1B4B"/>
      <sz val="18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3730A3"/>
      <sz val="10"/>
    </font>
    <font>
      <name val="Calibri"/>
      <b val="1"/>
      <color rgb="001E1B4B"/>
      <sz val="24"/>
    </font>
    <font>
      <name val="Calibri"/>
      <b val="1"/>
      <color rgb="001E1B4B"/>
      <sz val="14"/>
    </font>
  </fonts>
  <fills count="10">
    <fill>
      <patternFill/>
    </fill>
    <fill>
      <patternFill patternType="gray125"/>
    </fill>
    <fill>
      <patternFill patternType="solid">
        <fgColor rgb="003730A3"/>
      </patternFill>
    </fill>
    <fill>
      <patternFill patternType="solid">
        <fgColor rgb="00F9FAFB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4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C7D2FE"/>
      </left>
      <right style="medium">
        <color rgb="00C7D2FE"/>
      </right>
      <top style="medium">
        <color rgb="00C7D2FE"/>
      </top>
    </border>
    <border>
      <left style="medium">
        <color rgb="00C7D2FE"/>
      </left>
      <right style="medium">
        <color rgb="00C7D2FE"/>
      </right>
      <bottom style="medium">
        <color rgb="00C7D2F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9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165" fontId="5" fillId="5" borderId="3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9" fontId="0" fillId="3" borderId="1" applyAlignment="1" pivotButton="0" quotePrefix="0" xfId="0">
      <alignment horizontal="left" vertical="top" wrapText="1"/>
    </xf>
    <xf numFmtId="165" fontId="0" fillId="3" borderId="1" applyAlignment="1" pivotButton="0" quotePrefix="0" xfId="0">
      <alignment horizontal="left" vertical="top" wrapText="1"/>
    </xf>
    <xf numFmtId="164" fontId="0" fillId="3" borderId="1" applyAlignment="1" pivotButton="0" quotePrefix="0" xfId="0">
      <alignment horizontal="left" vertical="top" wrapText="1"/>
    </xf>
    <xf numFmtId="0" fontId="6" fillId="0" borderId="0" pivotButton="0" quotePrefix="0" xfId="0"/>
    <xf numFmtId="166" fontId="0" fillId="0" borderId="1" applyAlignment="1" pivotButton="0" quotePrefix="0" xfId="0">
      <alignment horizontal="left" vertical="top" wrapText="1"/>
    </xf>
    <xf numFmtId="166" fontId="0" fillId="3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top" wrapText="1"/>
    </xf>
    <xf numFmtId="1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ont>
        <b val="1"/>
        <color rgb="00374151"/>
      </font>
      <fill>
        <patternFill patternType="solid">
          <fgColor rgb="00F3F4F6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065F46"/>
      </font>
      <fill>
        <patternFill patternType="solid">
          <fgColor rgb="00D1FAE5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4B5563"/>
      </font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AI Software Engineer OS — Dashboard</t>
        </is>
      </c>
    </row>
    <row r="2" ht="20" customHeight="1">
      <c r="A2" s="2" t="inlineStr">
        <is>
          <t>Single source of truth for your 10-week journey to FAANG-level AI engineering</t>
        </is>
      </c>
    </row>
    <row r="4" ht="22" customHeight="1">
      <c r="A4" s="3" t="inlineStr">
        <is>
          <t>Overall Progress</t>
        </is>
      </c>
      <c r="C4" s="4" t="inlineStr">
        <is>
          <t>Current Week</t>
        </is>
      </c>
      <c r="E4" s="5" t="inlineStr">
        <is>
          <t>Hours Logged</t>
        </is>
      </c>
      <c r="G4" s="6" t="inlineStr">
        <is>
          <t>Hours Target</t>
        </is>
      </c>
    </row>
    <row r="5" ht="22" customHeight="1">
      <c r="A5" s="7">
        <f>IFERROR(COUNTIF('Daily Tasks'!K:K,"Complete")/70,0)</f>
        <v/>
      </c>
      <c r="C5" s="8">
        <f>MIN(10, INT((COUNTIF('Daily Tasks'!K:K,"Complete"))/7)+1)</f>
        <v/>
      </c>
      <c r="E5" s="9">
        <f>SUM('Daily Tasks'!J:J)</f>
        <v/>
      </c>
      <c r="G5" s="9" t="n">
        <v>500</v>
      </c>
    </row>
    <row r="6" ht="22" customHeight="1"/>
    <row r="7" ht="22" customHeight="1"/>
    <row r="9" ht="22" customHeight="1">
      <c r="A9" s="5" t="inlineStr">
        <is>
          <t>Tasks Complete</t>
        </is>
      </c>
      <c r="C9" s="3" t="inlineStr">
        <is>
          <t>Tasks Total</t>
        </is>
      </c>
      <c r="E9" s="10" t="inlineStr">
        <is>
          <t>Streak (days)</t>
        </is>
      </c>
      <c r="G9" s="4" t="inlineStr">
        <is>
          <t>Interview Qs Solved</t>
        </is>
      </c>
    </row>
    <row r="10" ht="22" customHeight="1">
      <c r="A10" s="8">
        <f>COUNTIF('Daily Tasks'!K:K,"Complete")</f>
        <v/>
      </c>
      <c r="C10" s="8" t="n">
        <v>70</v>
      </c>
      <c r="E10" s="8" t="n">
        <v>0</v>
      </c>
      <c r="G10" s="8">
        <f>COUNTIFS('Interview Prep'!E:E,"Complete")</f>
        <v/>
      </c>
    </row>
    <row r="11" ht="22" customHeight="1"/>
    <row r="12" ht="22" customHeight="1"/>
    <row r="15" ht="26" customHeight="1">
      <c r="A15" s="11" t="inlineStr">
        <is>
          <t>Weekly Progress Summary</t>
        </is>
      </c>
    </row>
    <row r="16" ht="32" customHeight="1">
      <c r="A16" s="12" t="inlineStr">
        <is>
          <t>Week</t>
        </is>
      </c>
      <c r="B16" s="12" t="inlineStr">
        <is>
          <t>Phase</t>
        </is>
      </c>
      <c r="C16" s="12" t="inlineStr">
        <is>
          <t>Status</t>
        </is>
      </c>
      <c r="D16" s="12" t="inlineStr">
        <is>
          <t>Completion %</t>
        </is>
      </c>
      <c r="E16" s="12" t="inlineStr">
        <is>
          <t>Hours Logged</t>
        </is>
      </c>
      <c r="F16" s="12" t="inlineStr">
        <is>
          <t>Hours Target</t>
        </is>
      </c>
      <c r="G16" s="12" t="inlineStr">
        <is>
          <t>Tasks Complete</t>
        </is>
      </c>
      <c r="H16" s="12" t="inlineStr">
        <is>
          <t>Tasks Total</t>
        </is>
      </c>
    </row>
    <row r="17" ht="30" customHeight="1">
      <c r="A17" s="13" t="n">
        <v>1</v>
      </c>
      <c r="B17" s="13">
        <f>'Weekly Goals'!B5</f>
        <v/>
      </c>
      <c r="C17" s="13">
        <f>'Weekly Goals'!J5</f>
        <v/>
      </c>
      <c r="D17" s="14">
        <f>'Weekly Goals'!I5</f>
        <v/>
      </c>
      <c r="E17" s="15">
        <f>'Weekly Goals'!H5</f>
        <v/>
      </c>
      <c r="F17" s="16">
        <f>'Weekly Goals'!G5</f>
        <v/>
      </c>
      <c r="G17" s="13">
        <f>COUNTIFS('Daily Tasks'!B:B,1,'Daily Tasks'!K:K,"Complete")</f>
        <v/>
      </c>
      <c r="H17" s="13">
        <f>COUNTIF('Daily Tasks'!B:B,1)</f>
        <v/>
      </c>
    </row>
    <row r="18" ht="30" customHeight="1">
      <c r="A18" s="17" t="n">
        <v>2</v>
      </c>
      <c r="B18" s="17">
        <f>'Weekly Goals'!B6</f>
        <v/>
      </c>
      <c r="C18" s="17">
        <f>'Weekly Goals'!J6</f>
        <v/>
      </c>
      <c r="D18" s="18">
        <f>'Weekly Goals'!I6</f>
        <v/>
      </c>
      <c r="E18" s="19">
        <f>'Weekly Goals'!H6</f>
        <v/>
      </c>
      <c r="F18" s="20">
        <f>'Weekly Goals'!G6</f>
        <v/>
      </c>
      <c r="G18" s="17">
        <f>COUNTIFS('Daily Tasks'!B:B,2,'Daily Tasks'!K:K,"Complete")</f>
        <v/>
      </c>
      <c r="H18" s="17">
        <f>COUNTIF('Daily Tasks'!B:B,2)</f>
        <v/>
      </c>
    </row>
    <row r="19" ht="30" customHeight="1">
      <c r="A19" s="13" t="n">
        <v>3</v>
      </c>
      <c r="B19" s="13">
        <f>'Weekly Goals'!B7</f>
        <v/>
      </c>
      <c r="C19" s="13">
        <f>'Weekly Goals'!J7</f>
        <v/>
      </c>
      <c r="D19" s="14">
        <f>'Weekly Goals'!I7</f>
        <v/>
      </c>
      <c r="E19" s="15">
        <f>'Weekly Goals'!H7</f>
        <v/>
      </c>
      <c r="F19" s="16">
        <f>'Weekly Goals'!G7</f>
        <v/>
      </c>
      <c r="G19" s="13">
        <f>COUNTIFS('Daily Tasks'!B:B,3,'Daily Tasks'!K:K,"Complete")</f>
        <v/>
      </c>
      <c r="H19" s="13">
        <f>COUNTIF('Daily Tasks'!B:B,3)</f>
        <v/>
      </c>
    </row>
    <row r="20" ht="30" customHeight="1">
      <c r="A20" s="17" t="n">
        <v>4</v>
      </c>
      <c r="B20" s="17">
        <f>'Weekly Goals'!B8</f>
        <v/>
      </c>
      <c r="C20" s="17">
        <f>'Weekly Goals'!J8</f>
        <v/>
      </c>
      <c r="D20" s="18">
        <f>'Weekly Goals'!I8</f>
        <v/>
      </c>
      <c r="E20" s="19">
        <f>'Weekly Goals'!H8</f>
        <v/>
      </c>
      <c r="F20" s="20">
        <f>'Weekly Goals'!G8</f>
        <v/>
      </c>
      <c r="G20" s="17">
        <f>COUNTIFS('Daily Tasks'!B:B,4,'Daily Tasks'!K:K,"Complete")</f>
        <v/>
      </c>
      <c r="H20" s="17">
        <f>COUNTIF('Daily Tasks'!B:B,4)</f>
        <v/>
      </c>
    </row>
    <row r="21" ht="30" customHeight="1">
      <c r="A21" s="13" t="n">
        <v>5</v>
      </c>
      <c r="B21" s="13">
        <f>'Weekly Goals'!B9</f>
        <v/>
      </c>
      <c r="C21" s="13">
        <f>'Weekly Goals'!J9</f>
        <v/>
      </c>
      <c r="D21" s="14">
        <f>'Weekly Goals'!I9</f>
        <v/>
      </c>
      <c r="E21" s="15">
        <f>'Weekly Goals'!H9</f>
        <v/>
      </c>
      <c r="F21" s="16">
        <f>'Weekly Goals'!G9</f>
        <v/>
      </c>
      <c r="G21" s="13">
        <f>COUNTIFS('Daily Tasks'!B:B,5,'Daily Tasks'!K:K,"Complete")</f>
        <v/>
      </c>
      <c r="H21" s="13">
        <f>COUNTIF('Daily Tasks'!B:B,5)</f>
        <v/>
      </c>
    </row>
    <row r="22" ht="30" customHeight="1">
      <c r="A22" s="17" t="n">
        <v>6</v>
      </c>
      <c r="B22" s="17">
        <f>'Weekly Goals'!B10</f>
        <v/>
      </c>
      <c r="C22" s="17">
        <f>'Weekly Goals'!J10</f>
        <v/>
      </c>
      <c r="D22" s="18">
        <f>'Weekly Goals'!I10</f>
        <v/>
      </c>
      <c r="E22" s="19">
        <f>'Weekly Goals'!H10</f>
        <v/>
      </c>
      <c r="F22" s="20">
        <f>'Weekly Goals'!G10</f>
        <v/>
      </c>
      <c r="G22" s="17">
        <f>COUNTIFS('Daily Tasks'!B:B,6,'Daily Tasks'!K:K,"Complete")</f>
        <v/>
      </c>
      <c r="H22" s="17">
        <f>COUNTIF('Daily Tasks'!B:B,6)</f>
        <v/>
      </c>
    </row>
    <row r="23" ht="30" customHeight="1">
      <c r="A23" s="13" t="n">
        <v>7</v>
      </c>
      <c r="B23" s="13">
        <f>'Weekly Goals'!B11</f>
        <v/>
      </c>
      <c r="C23" s="13">
        <f>'Weekly Goals'!J11</f>
        <v/>
      </c>
      <c r="D23" s="14">
        <f>'Weekly Goals'!I11</f>
        <v/>
      </c>
      <c r="E23" s="15">
        <f>'Weekly Goals'!H11</f>
        <v/>
      </c>
      <c r="F23" s="16">
        <f>'Weekly Goals'!G11</f>
        <v/>
      </c>
      <c r="G23" s="13">
        <f>COUNTIFS('Daily Tasks'!B:B,7,'Daily Tasks'!K:K,"Complete")</f>
        <v/>
      </c>
      <c r="H23" s="13">
        <f>COUNTIF('Daily Tasks'!B:B,7)</f>
        <v/>
      </c>
    </row>
    <row r="24" ht="30" customHeight="1">
      <c r="A24" s="17" t="n">
        <v>8</v>
      </c>
      <c r="B24" s="17">
        <f>'Weekly Goals'!B12</f>
        <v/>
      </c>
      <c r="C24" s="17">
        <f>'Weekly Goals'!J12</f>
        <v/>
      </c>
      <c r="D24" s="18">
        <f>'Weekly Goals'!I12</f>
        <v/>
      </c>
      <c r="E24" s="19">
        <f>'Weekly Goals'!H12</f>
        <v/>
      </c>
      <c r="F24" s="20">
        <f>'Weekly Goals'!G12</f>
        <v/>
      </c>
      <c r="G24" s="17">
        <f>COUNTIFS('Daily Tasks'!B:B,8,'Daily Tasks'!K:K,"Complete")</f>
        <v/>
      </c>
      <c r="H24" s="17">
        <f>COUNTIF('Daily Tasks'!B:B,8)</f>
        <v/>
      </c>
    </row>
    <row r="25" ht="30" customHeight="1">
      <c r="A25" s="13" t="n">
        <v>9</v>
      </c>
      <c r="B25" s="13">
        <f>'Weekly Goals'!B13</f>
        <v/>
      </c>
      <c r="C25" s="13">
        <f>'Weekly Goals'!J13</f>
        <v/>
      </c>
      <c r="D25" s="14">
        <f>'Weekly Goals'!I13</f>
        <v/>
      </c>
      <c r="E25" s="15">
        <f>'Weekly Goals'!H13</f>
        <v/>
      </c>
      <c r="F25" s="16">
        <f>'Weekly Goals'!G13</f>
        <v/>
      </c>
      <c r="G25" s="13">
        <f>COUNTIFS('Daily Tasks'!B:B,9,'Daily Tasks'!K:K,"Complete")</f>
        <v/>
      </c>
      <c r="H25" s="13">
        <f>COUNTIF('Daily Tasks'!B:B,9)</f>
        <v/>
      </c>
    </row>
    <row r="26" ht="30" customHeight="1">
      <c r="A26" s="17" t="n">
        <v>10</v>
      </c>
      <c r="B26" s="17">
        <f>'Weekly Goals'!B14</f>
        <v/>
      </c>
      <c r="C26" s="17">
        <f>'Weekly Goals'!J14</f>
        <v/>
      </c>
      <c r="D26" s="18">
        <f>'Weekly Goals'!I14</f>
        <v/>
      </c>
      <c r="E26" s="19">
        <f>'Weekly Goals'!H14</f>
        <v/>
      </c>
      <c r="F26" s="20">
        <f>'Weekly Goals'!G14</f>
        <v/>
      </c>
      <c r="G26" s="17">
        <f>COUNTIFS('Daily Tasks'!B:B,10,'Daily Tasks'!K:K,"Complete")</f>
        <v/>
      </c>
      <c r="H26" s="17">
        <f>COUNTIF('Daily Tasks'!B:B,10)</f>
        <v/>
      </c>
    </row>
    <row r="28" ht="26" customHeight="1">
      <c r="A28" s="21" t="inlineStr">
        <is>
          <t>Readiness Scores (0-100, self-assess weekly)</t>
        </is>
      </c>
    </row>
    <row r="29" ht="32" customHeight="1">
      <c r="A29" s="12" t="inlineStr">
        <is>
          <t>Domain</t>
        </is>
      </c>
      <c r="B29" s="12" t="inlineStr">
        <is>
          <t>Score</t>
        </is>
      </c>
      <c r="C29" s="12" t="inlineStr">
        <is>
          <t>Level</t>
        </is>
      </c>
      <c r="D29" s="12" t="inlineStr">
        <is>
          <t>Notes</t>
        </is>
      </c>
    </row>
    <row r="30" ht="30" customHeight="1">
      <c r="A30" s="13" t="inlineStr">
        <is>
          <t>Python</t>
        </is>
      </c>
      <c r="B30" s="13" t="n">
        <v>0</v>
      </c>
      <c r="C30" s="13">
        <f>IF(B30&gt;=80,"Strong",IF(B30&gt;=50,"Growing",IF(B30&gt;=20,"Learning","Beginner")))</f>
        <v/>
      </c>
      <c r="D30" s="13" t="inlineStr"/>
    </row>
    <row r="31" ht="30" customHeight="1">
      <c r="A31" s="17" t="inlineStr">
        <is>
          <t>SQL</t>
        </is>
      </c>
      <c r="B31" s="17" t="n">
        <v>0</v>
      </c>
      <c r="C31" s="17">
        <f>IF(B31&gt;=80,"Strong",IF(B31&gt;=50,"Growing",IF(B31&gt;=20,"Learning","Beginner")))</f>
        <v/>
      </c>
      <c r="D31" s="17" t="inlineStr"/>
    </row>
    <row r="32" ht="30" customHeight="1">
      <c r="A32" s="13" t="inlineStr">
        <is>
          <t>DSA</t>
        </is>
      </c>
      <c r="B32" s="13" t="n">
        <v>0</v>
      </c>
      <c r="C32" s="13">
        <f>IF(B32&gt;=80,"Strong",IF(B32&gt;=50,"Growing",IF(B32&gt;=20,"Learning","Beginner")))</f>
        <v/>
      </c>
      <c r="D32" s="13" t="inlineStr"/>
    </row>
    <row r="33" ht="30" customHeight="1">
      <c r="A33" s="17" t="inlineStr">
        <is>
          <t>System Design</t>
        </is>
      </c>
      <c r="B33" s="17" t="n">
        <v>0</v>
      </c>
      <c r="C33" s="17">
        <f>IF(B33&gt;=80,"Strong",IF(B33&gt;=50,"Growing",IF(B33&gt;=20,"Learning","Beginner")))</f>
        <v/>
      </c>
      <c r="D33" s="17" t="inlineStr"/>
    </row>
    <row r="34" ht="30" customHeight="1">
      <c r="A34" s="13" t="inlineStr">
        <is>
          <t>Backend / FastAPI</t>
        </is>
      </c>
      <c r="B34" s="13" t="n">
        <v>0</v>
      </c>
      <c r="C34" s="13">
        <f>IF(B34&gt;=80,"Strong",IF(B34&gt;=50,"Growing",IF(B34&gt;=20,"Learning","Beginner")))</f>
        <v/>
      </c>
      <c r="D34" s="13" t="inlineStr"/>
    </row>
    <row r="35" ht="30" customHeight="1">
      <c r="A35" s="17" t="inlineStr">
        <is>
          <t>Docker / Cloud</t>
        </is>
      </c>
      <c r="B35" s="17" t="n">
        <v>0</v>
      </c>
      <c r="C35" s="17">
        <f>IF(B35&gt;=80,"Strong",IF(B35&gt;=50,"Growing",IF(B35&gt;=20,"Learning","Beginner")))</f>
        <v/>
      </c>
      <c r="D35" s="17" t="inlineStr"/>
    </row>
    <row r="36" ht="30" customHeight="1">
      <c r="A36" s="13" t="inlineStr">
        <is>
          <t>ML Foundations</t>
        </is>
      </c>
      <c r="B36" s="13" t="n">
        <v>0</v>
      </c>
      <c r="C36" s="13">
        <f>IF(B36&gt;=80,"Strong",IF(B36&gt;=50,"Growing",IF(B36&gt;=20,"Learning","Beginner")))</f>
        <v/>
      </c>
      <c r="D36" s="13" t="inlineStr"/>
    </row>
    <row r="37" ht="30" customHeight="1">
      <c r="A37" s="17" t="inlineStr">
        <is>
          <t>LLM</t>
        </is>
      </c>
      <c r="B37" s="17" t="n">
        <v>0</v>
      </c>
      <c r="C37" s="17">
        <f>IF(B37&gt;=80,"Strong",IF(B37&gt;=50,"Growing",IF(B37&gt;=20,"Learning","Beginner")))</f>
        <v/>
      </c>
      <c r="D37" s="17" t="inlineStr"/>
    </row>
    <row r="38" ht="30" customHeight="1">
      <c r="A38" s="13" t="inlineStr">
        <is>
          <t>RAG</t>
        </is>
      </c>
      <c r="B38" s="13" t="n">
        <v>0</v>
      </c>
      <c r="C38" s="13">
        <f>IF(B38&gt;=80,"Strong",IF(B38&gt;=50,"Growing",IF(B38&gt;=20,"Learning","Beginner")))</f>
        <v/>
      </c>
      <c r="D38" s="13" t="inlineStr"/>
    </row>
    <row r="39" ht="30" customHeight="1">
      <c r="A39" s="17" t="inlineStr">
        <is>
          <t>AI Agents</t>
        </is>
      </c>
      <c r="B39" s="17" t="n">
        <v>0</v>
      </c>
      <c r="C39" s="17">
        <f>IF(B39&gt;=80,"Strong",IF(B39&gt;=50,"Growing",IF(B39&gt;=20,"Learning","Beginner")))</f>
        <v/>
      </c>
      <c r="D39" s="17" t="inlineStr"/>
    </row>
  </sheetData>
  <mergeCells count="20">
    <mergeCell ref="A10:B12"/>
    <mergeCell ref="A15:H15"/>
    <mergeCell ref="A1:H1"/>
    <mergeCell ref="A28:D28"/>
    <mergeCell ref="C4:D4"/>
    <mergeCell ref="E4:F4"/>
    <mergeCell ref="C5:D7"/>
    <mergeCell ref="E5:F7"/>
    <mergeCell ref="C10:D12"/>
    <mergeCell ref="G10:H12"/>
    <mergeCell ref="C9:D9"/>
    <mergeCell ref="E9:F9"/>
    <mergeCell ref="E10:F12"/>
    <mergeCell ref="A2:H2"/>
    <mergeCell ref="A4:B4"/>
    <mergeCell ref="G4:H4"/>
    <mergeCell ref="G5:H7"/>
    <mergeCell ref="A5:B7"/>
    <mergeCell ref="A9:B9"/>
    <mergeCell ref="G9:H9"/>
  </mergeCells>
  <conditionalFormatting sqref="C17:C26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2">
      <formula>"Done"</formula>
    </cfRule>
    <cfRule type="cellIs" priority="5" operator="equal" dxfId="3">
      <formula>"Blocked"</formula>
    </cfRule>
    <cfRule type="cellIs" priority="6" operator="equal" dxfId="4">
      <formula>"Skipped"</formula>
    </cfRule>
  </conditionalFormatting>
  <conditionalFormatting sqref="D17:D26">
    <cfRule type="dataBar" priority="7">
      <dataBar showValue="1">
        <cfvo type="num" val="0"/>
        <cfvo type="num" val="100"/>
        <color rgb="006366F1"/>
      </dataBar>
    </cfRule>
  </conditionalFormatting>
  <conditionalFormatting sqref="B30:B39">
    <cfRule type="dataBar" priority="8">
      <dataBar showValue="1">
        <cfvo type="num" val="0"/>
        <cfvo type="num" val="100"/>
        <color rgb="006366F1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60" customWidth="1" min="4" max="4"/>
    <col width="55" customWidth="1" min="5" max="5"/>
    <col width="45" customWidth="1" min="6" max="6"/>
    <col width="12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 ht="36" customHeight="1">
      <c r="A1" s="1" t="inlineStr">
        <is>
          <t>Weekly Goals</t>
        </is>
      </c>
    </row>
    <row r="2" ht="20" customHeight="1">
      <c r="A2" s="2" t="inlineStr">
        <is>
          <t>Your 10-week phased curriculum — themes, objectives &amp; deliverables</t>
        </is>
      </c>
    </row>
    <row r="4" ht="32" customHeight="1">
      <c r="A4" s="12" t="inlineStr">
        <is>
          <t>Week #</t>
        </is>
      </c>
      <c r="B4" s="12" t="inlineStr">
        <is>
          <t>Phase Name</t>
        </is>
      </c>
      <c r="C4" s="12" t="inlineStr">
        <is>
          <t>Theme</t>
        </is>
      </c>
      <c r="D4" s="12" t="inlineStr">
        <is>
          <t>Primary Objectives</t>
        </is>
      </c>
      <c r="E4" s="12" t="inlineStr">
        <is>
          <t>Key Topics</t>
        </is>
      </c>
      <c r="F4" s="12" t="inlineStr">
        <is>
          <t>Deliverable / Milestone</t>
        </is>
      </c>
      <c r="G4" s="12" t="inlineStr">
        <is>
          <t>Target Hours</t>
        </is>
      </c>
      <c r="H4" s="12" t="inlineStr">
        <is>
          <t>Hours Logged</t>
        </is>
      </c>
      <c r="I4" s="12" t="inlineStr">
        <is>
          <t>Completion %</t>
        </is>
      </c>
      <c r="J4" s="12" t="inlineStr">
        <is>
          <t>Status</t>
        </is>
      </c>
      <c r="K4" s="12" t="inlineStr">
        <is>
          <t>Notes</t>
        </is>
      </c>
    </row>
    <row r="5" ht="30" customHeight="1">
      <c r="A5" s="13" t="n">
        <v>1</v>
      </c>
      <c r="B5" s="13" t="inlineStr">
        <is>
          <t>Foundations</t>
        </is>
      </c>
      <c r="C5" s="13" t="inlineStr">
        <is>
          <t>Setup &amp; Python Mastery</t>
        </is>
      </c>
      <c r="D5" s="13" t="inlineStr">
        <is>
          <t>Set up a professional dev environment • Master Git/GitHub workflows • Refresh Python deeply with type hints • Get comfortable on Linux CLI • Learn pytest basics</t>
        </is>
      </c>
      <c r="E5" s="13" t="inlineStr">
        <is>
          <t>VS Code, Git, GitHub, Linux CLI, Python 3.11, type hints, virtualenv, pip, ruff, black, mypy, pytest</t>
        </is>
      </c>
      <c r="F5" s="13" t="inlineStr">
        <is>
          <t>Working CLI Task Manager + clean dev environment</t>
        </is>
      </c>
      <c r="G5" s="16" t="n">
        <v>45</v>
      </c>
      <c r="H5" s="15">
        <f>SUMIF('Daily Tasks'!B:B,1,'Daily Tasks'!J:J)</f>
        <v/>
      </c>
      <c r="I5" s="14">
        <f>IFERROR(COUNTIFS('Daily Tasks'!B:B,1,'Daily Tasks'!K:K,"Complete")/COUNTIF('Daily Tasks'!B:B,1),0)</f>
        <v/>
      </c>
      <c r="J5" s="13" t="inlineStr">
        <is>
          <t>Not Started</t>
        </is>
      </c>
      <c r="K5" s="13" t="inlineStr"/>
    </row>
    <row r="6" ht="30" customHeight="1">
      <c r="A6" s="17" t="n">
        <v>2</v>
      </c>
      <c r="B6" s="17" t="inlineStr">
        <is>
          <t>CS Fundamentals</t>
        </is>
      </c>
      <c r="C6" s="17" t="inlineStr">
        <is>
          <t>Core Computer Science</t>
        </is>
      </c>
      <c r="D6" s="17" t="inlineStr">
        <is>
          <t>Understand OS internals • Grasp networking from sockets to HTTP • Learn relational DB theory • Build intuition for indexes &amp; transactions • Create 50 flashcards</t>
        </is>
      </c>
      <c r="E6" s="17" t="inlineStr">
        <is>
          <t>Processes, threads, memory, scheduling, TCP/IP, HTTP/2, DNS, sockets, SQL, normalization, indexes, transactions, ACID</t>
        </is>
      </c>
      <c r="F6" s="17" t="inlineStr">
        <is>
          <t>CS Fundamentals notes + 50 spaced-repetition flashcards</t>
        </is>
      </c>
      <c r="G6" s="20" t="n">
        <v>50</v>
      </c>
      <c r="H6" s="19">
        <f>SUMIF('Daily Tasks'!B:B,2,'Daily Tasks'!J:J)</f>
        <v/>
      </c>
      <c r="I6" s="18">
        <f>IFERROR(COUNTIFS('Daily Tasks'!B:B,2,'Daily Tasks'!K:K,"Complete")/COUNTIF('Daily Tasks'!B:B,2),0)</f>
        <v/>
      </c>
      <c r="J6" s="17" t="inlineStr">
        <is>
          <t>Not Started</t>
        </is>
      </c>
      <c r="K6" s="17" t="inlineStr"/>
    </row>
    <row r="7" ht="30" customHeight="1">
      <c r="A7" s="13" t="n">
        <v>3</v>
      </c>
      <c r="B7" s="13" t="inlineStr">
        <is>
          <t>Software Engineering</t>
        </is>
      </c>
      <c r="C7" s="13" t="inlineStr">
        <is>
          <t>Clean Code &amp; Testing</t>
        </is>
      </c>
      <c r="D7" s="13" t="inlineStr">
        <is>
          <t>Internalize SOLID • Apply core design patterns • Write maintainable code • Master unit + integration testing • Design proper REST APIs</t>
        </is>
      </c>
      <c r="E7" s="13" t="inlineStr">
        <is>
          <t>SOLID, GoF patterns, clean code, pytest, mocking, TDD, REST design, API versioning, OpenAPI</t>
        </is>
      </c>
      <c r="F7" s="13" t="inlineStr">
        <is>
          <t>Refactored TODO API with 90%+ test coverage</t>
        </is>
      </c>
      <c r="G7" s="16" t="n">
        <v>50</v>
      </c>
      <c r="H7" s="15">
        <f>SUMIF('Daily Tasks'!B:B,3,'Daily Tasks'!J:J)</f>
        <v/>
      </c>
      <c r="I7" s="14">
        <f>IFERROR(COUNTIFS('Daily Tasks'!B:B,3,'Daily Tasks'!K:K,"Complete")/COUNTIF('Daily Tasks'!B:B,3),0)</f>
        <v/>
      </c>
      <c r="J7" s="13" t="inlineStr">
        <is>
          <t>Not Started</t>
        </is>
      </c>
      <c r="K7" s="13" t="inlineStr"/>
    </row>
    <row r="8" ht="30" customHeight="1">
      <c r="A8" s="17" t="n">
        <v>4</v>
      </c>
      <c r="B8" s="17" t="inlineStr">
        <is>
          <t>Backend Mastery</t>
        </is>
      </c>
      <c r="C8" s="17" t="inlineStr">
        <is>
          <t>FastAPI &amp; Postgres</t>
        </is>
      </c>
      <c r="D8" s="17" t="inlineStr">
        <is>
          <t>Build production FastAPI services • Model with SQLAlchemy 2.0 • Validate with Pydantic v2 • Implement JWT auth • Add background tasks</t>
        </is>
      </c>
      <c r="E8" s="17" t="inlineStr">
        <is>
          <t>FastAPI, SQLAlchemy 2.0, Alembic, Pydantic v2, JWT, OAuth2, middleware, dependency injection, background tasks</t>
        </is>
      </c>
      <c r="F8" s="17" t="inlineStr">
        <is>
          <t>Production REST API with auth, migrations &amp; docs</t>
        </is>
      </c>
      <c r="G8" s="20" t="n">
        <v>55</v>
      </c>
      <c r="H8" s="19">
        <f>SUMIF('Daily Tasks'!B:B,4,'Daily Tasks'!J:J)</f>
        <v/>
      </c>
      <c r="I8" s="18">
        <f>IFERROR(COUNTIFS('Daily Tasks'!B:B,4,'Daily Tasks'!K:K,"Complete")/COUNTIF('Daily Tasks'!B:B,4),0)</f>
        <v/>
      </c>
      <c r="J8" s="17" t="inlineStr">
        <is>
          <t>Not Started</t>
        </is>
      </c>
      <c r="K8" s="17" t="inlineStr"/>
    </row>
    <row r="9" ht="30" customHeight="1">
      <c r="A9" s="13" t="n">
        <v>5</v>
      </c>
      <c r="B9" s="13" t="inlineStr">
        <is>
          <t>DevOps &amp; Cloud</t>
        </is>
      </c>
      <c r="C9" s="13" t="inlineStr">
        <is>
          <t>Docker, AWS, CI/CD</t>
        </is>
      </c>
      <c r="D9" s="13" t="inlineStr">
        <is>
          <t>Containerize multi-service apps • Deploy to AWS • Build CI/CD pipelines • Configure Nginx reverse proxy • Manage secrets properly</t>
        </is>
      </c>
      <c r="E9" s="13" t="inlineStr">
        <is>
          <t>Docker, docker-compose, multi-stage builds, AWS EC2, S3, RDS, Lambda, GitHub Actions, Nginx, env vars</t>
        </is>
      </c>
      <c r="F9" s="13" t="inlineStr">
        <is>
          <t>Dockerized app deployed live to AWS via CI/CD</t>
        </is>
      </c>
      <c r="G9" s="16" t="n">
        <v>50</v>
      </c>
      <c r="H9" s="15">
        <f>SUMIF('Daily Tasks'!B:B,5,'Daily Tasks'!J:J)</f>
        <v/>
      </c>
      <c r="I9" s="14">
        <f>IFERROR(COUNTIFS('Daily Tasks'!B:B,5,'Daily Tasks'!K:K,"Complete")/COUNTIF('Daily Tasks'!B:B,5),0)</f>
        <v/>
      </c>
      <c r="J9" s="13" t="inlineStr">
        <is>
          <t>Not Started</t>
        </is>
      </c>
      <c r="K9" s="13" t="inlineStr"/>
    </row>
    <row r="10" ht="30" customHeight="1">
      <c r="A10" s="17" t="n">
        <v>6</v>
      </c>
      <c r="B10" s="17" t="inlineStr">
        <is>
          <t>ML &amp; LLM Foundations</t>
        </is>
      </c>
      <c r="C10" s="17" t="inlineStr">
        <is>
          <t>From Numpy to Transformers</t>
        </is>
      </c>
      <c r="D10" s="17" t="inlineStr">
        <is>
          <t>Refresh NumPy/Pandas • Train classical ML models • Build neural nets from scratch • Understand Transformer architecture • Use HuggingFace pipelines</t>
        </is>
      </c>
      <c r="E10" s="17" t="inlineStr">
        <is>
          <t>NumPy, Pandas, scikit-learn, PyTorch basics, MLPs, backprop, attention, Transformer blocks, HuggingFace, tokenization</t>
        </is>
      </c>
      <c r="F10" s="17" t="inlineStr">
        <is>
          <t>Sentiment Analysis API powered by HuggingFace</t>
        </is>
      </c>
      <c r="G10" s="20" t="n">
        <v>55</v>
      </c>
      <c r="H10" s="19">
        <f>SUMIF('Daily Tasks'!B:B,6,'Daily Tasks'!J:J)</f>
        <v/>
      </c>
      <c r="I10" s="18">
        <f>IFERROR(COUNTIFS('Daily Tasks'!B:B,6,'Daily Tasks'!K:K,"Complete")/COUNTIF('Daily Tasks'!B:B,6),0)</f>
        <v/>
      </c>
      <c r="J10" s="17" t="inlineStr">
        <is>
          <t>Not Started</t>
        </is>
      </c>
      <c r="K10" s="17" t="inlineStr"/>
    </row>
    <row r="11" ht="30" customHeight="1">
      <c r="A11" s="13" t="n">
        <v>7</v>
      </c>
      <c r="B11" s="13" t="inlineStr">
        <is>
          <t>RAG &amp; Vector DBs</t>
        </is>
      </c>
      <c r="C11" s="13" t="inlineStr">
        <is>
          <t>Retrieval-Augmented Generation</t>
        </is>
      </c>
      <c r="D11" s="13" t="inlineStr">
        <is>
          <t>Master embeddings + chunking • Operate vector DBs • Implement hybrid search • Engineer prompts systematically • Evaluate RAG quality</t>
        </is>
      </c>
      <c r="E11" s="13" t="inlineStr">
        <is>
          <t>Embeddings, chunking strategies, Pinecone, Chroma, Qdrant, pgvector, hybrid search, prompt engineering, RAGAS</t>
        </is>
      </c>
      <c r="F11" s="13" t="inlineStr">
        <is>
          <t>Documentation Chatbot with production-grade RAG</t>
        </is>
      </c>
      <c r="G11" s="16" t="n">
        <v>55</v>
      </c>
      <c r="H11" s="15">
        <f>SUMIF('Daily Tasks'!B:B,7,'Daily Tasks'!J:J)</f>
        <v/>
      </c>
      <c r="I11" s="14">
        <f>IFERROR(COUNTIFS('Daily Tasks'!B:B,7,'Daily Tasks'!K:K,"Complete")/COUNTIF('Daily Tasks'!B:B,7),0)</f>
        <v/>
      </c>
      <c r="J11" s="13" t="inlineStr">
        <is>
          <t>Not Started</t>
        </is>
      </c>
      <c r="K11" s="13" t="inlineStr"/>
    </row>
    <row r="12" ht="30" customHeight="1">
      <c r="A12" s="17" t="n">
        <v>8</v>
      </c>
      <c r="B12" s="17" t="inlineStr">
        <is>
          <t>AI Agents</t>
        </is>
      </c>
      <c r="C12" s="17" t="inlineStr">
        <is>
          <t>LangGraph &amp; Multi-Agent</t>
        </is>
      </c>
      <c r="D12" s="17" t="inlineStr">
        <is>
          <t>Build agents with LangChain • Orchestrate with LangGraph • Implement tool use • Understand MCP protocol • Compose multi-agent systems</t>
        </is>
      </c>
      <c r="E12" s="17" t="inlineStr">
        <is>
          <t>LangChain, LangGraph, ReAct, Plan-and-Execute, tool calling, MCP, agent memory, multi-agent orchestration</t>
        </is>
      </c>
      <c r="F12" s="17" t="inlineStr">
        <is>
          <t>Multi-Agent Research Assistant w/ web + code tools</t>
        </is>
      </c>
      <c r="G12" s="20" t="n">
        <v>50</v>
      </c>
      <c r="H12" s="19">
        <f>SUMIF('Daily Tasks'!B:B,8,'Daily Tasks'!J:J)</f>
        <v/>
      </c>
      <c r="I12" s="18">
        <f>IFERROR(COUNTIFS('Daily Tasks'!B:B,8,'Daily Tasks'!K:K,"Complete")/COUNTIF('Daily Tasks'!B:B,8),0)</f>
        <v/>
      </c>
      <c r="J12" s="17" t="inlineStr">
        <is>
          <t>Not Started</t>
        </is>
      </c>
      <c r="K12" s="17" t="inlineStr"/>
    </row>
    <row r="13" ht="30" customHeight="1">
      <c r="A13" s="13" t="n">
        <v>9</v>
      </c>
      <c r="B13" s="13" t="inlineStr">
        <is>
          <t>System Design &amp; Production AI</t>
        </is>
      </c>
      <c r="C13" s="13" t="inlineStr">
        <is>
          <t>Scale &amp; Serve</t>
        </is>
      </c>
      <c r="D13" s="13" t="inlineStr">
        <is>
          <t>Design scalable systems • Apply caching + queues • Serve LLMs in production • Add observability • Optimize cost &amp; latency</t>
        </is>
      </c>
      <c r="E13" s="13" t="inlineStr">
        <is>
          <t>Scalability patterns, caching (Redis), queues (Kafka, SQS), microservices, vLLM, TGI, Prometheus, Grafana, cost ops</t>
        </is>
      </c>
      <c r="F13" s="13" t="inlineStr">
        <is>
          <t>LLM Gateway: rate-limited, cached, observable</t>
        </is>
      </c>
      <c r="G13" s="16" t="n">
        <v>50</v>
      </c>
      <c r="H13" s="15">
        <f>SUMIF('Daily Tasks'!B:B,9,'Daily Tasks'!J:J)</f>
        <v/>
      </c>
      <c r="I13" s="14">
        <f>IFERROR(COUNTIFS('Daily Tasks'!B:B,9,'Daily Tasks'!K:K,"Complete")/COUNTIF('Daily Tasks'!B:B,9),0)</f>
        <v/>
      </c>
      <c r="J13" s="13" t="inlineStr">
        <is>
          <t>Not Started</t>
        </is>
      </c>
      <c r="K13" s="13" t="inlineStr"/>
    </row>
    <row r="14" ht="30" customHeight="1">
      <c r="A14" s="17" t="n">
        <v>10</v>
      </c>
      <c r="B14" s="17" t="inlineStr">
        <is>
          <t>Capstone &amp; Interviews</t>
        </is>
      </c>
      <c r="C14" s="17" t="inlineStr">
        <is>
          <t>Ship &amp; Prepare</t>
        </is>
      </c>
      <c r="D14" s="17" t="inlineStr">
        <is>
          <t>Build end-to-end AI SaaS capstone • Polish portfolio site • Do 5 mock interviews • Refine resume • Prep behavioral stories</t>
        </is>
      </c>
      <c r="E14" s="17" t="inlineStr">
        <is>
          <t>Full-stack AI SaaS, Next.js, FastAPI, pgvector, agents, Stripe-mock, portfolio site, resume, STAR stories</t>
        </is>
      </c>
      <c r="F14" s="17" t="inlineStr">
        <is>
          <t>Capstone live + portfolio + 5 mock interviews done</t>
        </is>
      </c>
      <c r="G14" s="20" t="n">
        <v>40</v>
      </c>
      <c r="H14" s="19">
        <f>SUMIF('Daily Tasks'!B:B,10,'Daily Tasks'!J:J)</f>
        <v/>
      </c>
      <c r="I14" s="18">
        <f>IFERROR(COUNTIFS('Daily Tasks'!B:B,10,'Daily Tasks'!K:K,"Complete")/COUNTIF('Daily Tasks'!B:B,10),0)</f>
        <v/>
      </c>
      <c r="J14" s="17" t="inlineStr">
        <is>
          <t>Not Started</t>
        </is>
      </c>
      <c r="K14" s="17" t="inlineStr"/>
    </row>
  </sheetData>
  <autoFilter ref="A4:K14"/>
  <mergeCells count="2">
    <mergeCell ref="A2:K2"/>
    <mergeCell ref="A1:K1"/>
  </mergeCells>
  <conditionalFormatting sqref="J5:J14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2">
      <formula>"Done"</formula>
    </cfRule>
    <cfRule type="cellIs" priority="5" operator="equal" dxfId="3">
      <formula>"Blocked"</formula>
    </cfRule>
    <cfRule type="cellIs" priority="6" operator="equal" dxfId="4">
      <formula>"Skipped"</formula>
    </cfRule>
  </conditionalFormatting>
  <conditionalFormatting sqref="I5:I14">
    <cfRule type="dataBar" priority="7">
      <dataBar showValue="1">
        <cfvo type="num" val="0"/>
        <cfvo type="num" val="100"/>
        <color rgb="006366F1"/>
      </dataBar>
    </cfRule>
  </conditionalFormatting>
  <dataValidations count="1">
    <dataValidation sqref="J5:J14" showDropDown="0" showInputMessage="0" showErrorMessage="0" allowBlank="1" type="list">
      <formula1>"Not Started,In Progress,Complete,Blocked,Skipped"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18" customWidth="1" min="4" max="4"/>
    <col width="22" customWidth="1" min="5" max="5"/>
    <col width="70" customWidth="1" min="6" max="6"/>
    <col width="14" customWidth="1" min="7" max="7"/>
    <col width="32" customWidth="1" min="8" max="8"/>
    <col width="10" customWidth="1" min="9" max="9"/>
    <col width="11" customWidth="1" min="10" max="10"/>
    <col width="13" customWidth="1" min="11" max="11"/>
    <col width="28" customWidth="1" min="12" max="12"/>
  </cols>
  <sheetData>
    <row r="1" ht="36" customHeight="1">
      <c r="A1" s="1" t="inlineStr">
        <is>
          <t>Daily Tasks</t>
        </is>
      </c>
    </row>
    <row r="2" ht="20" customHeight="1">
      <c r="A2" s="2" t="inlineStr">
        <is>
          <t>Your 70-day battle plan — one row per day</t>
        </is>
      </c>
    </row>
    <row r="4" ht="32" customHeight="1">
      <c r="A4" s="12" t="inlineStr">
        <is>
          <t>Day #</t>
        </is>
      </c>
      <c r="B4" s="12" t="inlineStr">
        <is>
          <t>Week #</t>
        </is>
      </c>
      <c r="C4" s="12" t="inlineStr">
        <is>
          <t>Date</t>
        </is>
      </c>
      <c r="D4" s="12" t="inlineStr">
        <is>
          <t>Phase</t>
        </is>
      </c>
      <c r="E4" s="12" t="inlineStr">
        <is>
          <t>Topic</t>
        </is>
      </c>
      <c r="F4" s="12" t="inlineStr">
        <is>
          <t>Task Description</t>
        </is>
      </c>
      <c r="G4" s="12" t="inlineStr">
        <is>
          <t>Task Type</t>
        </is>
      </c>
      <c r="H4" s="12" t="inlineStr">
        <is>
          <t>Resource / Reference</t>
        </is>
      </c>
      <c r="I4" s="12" t="inlineStr">
        <is>
          <t>Est. Hours</t>
        </is>
      </c>
      <c r="J4" s="12" t="inlineStr">
        <is>
          <t>Actual Hours</t>
        </is>
      </c>
      <c r="K4" s="12" t="inlineStr">
        <is>
          <t>Status</t>
        </is>
      </c>
      <c r="L4" s="12" t="inlineStr">
        <is>
          <t>Notes</t>
        </is>
      </c>
    </row>
    <row r="5" ht="30" customHeight="1">
      <c r="A5" s="13" t="n">
        <v>1</v>
      </c>
      <c r="B5" s="13" t="n">
        <v>1</v>
      </c>
      <c r="C5" s="22" t="n"/>
      <c r="D5" s="13" t="inlineStr">
        <is>
          <t>Foundations</t>
        </is>
      </c>
      <c r="E5" s="13" t="inlineStr">
        <is>
          <t>Dev Environment</t>
        </is>
      </c>
      <c r="F5" s="13" t="inlineStr">
        <is>
          <t>Install VS Code, Python 3.11 via pyenv; configure ruff, black, mypy; create dotfiles repo on GitHub</t>
        </is>
      </c>
      <c r="G5" s="13" t="inlineStr">
        <is>
          <t>Code</t>
        </is>
      </c>
      <c r="H5" s="13" t="inlineStr">
        <is>
          <t>Real Python: Setting up Python</t>
        </is>
      </c>
      <c r="I5" s="15" t="n">
        <v>4</v>
      </c>
      <c r="J5" s="15" t="n">
        <v>0</v>
      </c>
      <c r="K5" s="13" t="inlineStr">
        <is>
          <t>Not Started</t>
        </is>
      </c>
      <c r="L5" s="13" t="inlineStr"/>
    </row>
    <row r="6" ht="30" customHeight="1">
      <c r="A6" s="17" t="n">
        <v>2</v>
      </c>
      <c r="B6" s="17" t="n">
        <v>1</v>
      </c>
      <c r="C6" s="23" t="n"/>
      <c r="D6" s="17" t="inlineStr">
        <is>
          <t>Foundations</t>
        </is>
      </c>
      <c r="E6" s="17" t="inlineStr">
        <is>
          <t>Git Basics</t>
        </is>
      </c>
      <c r="F6" s="17" t="inlineStr">
        <is>
          <t>Read Pro Git chapters 1-3; practice init/add/commit/branch/merge in scratch repo</t>
        </is>
      </c>
      <c r="G6" s="17" t="inlineStr">
        <is>
          <t>Reading</t>
        </is>
      </c>
      <c r="H6" s="17" t="inlineStr">
        <is>
          <t>https://git-scm.com/book</t>
        </is>
      </c>
      <c r="I6" s="19" t="n">
        <v>5</v>
      </c>
      <c r="J6" s="19" t="n">
        <v>0</v>
      </c>
      <c r="K6" s="17" t="inlineStr">
        <is>
          <t>Not Started</t>
        </is>
      </c>
      <c r="L6" s="17" t="inlineStr"/>
    </row>
    <row r="7" ht="30" customHeight="1">
      <c r="A7" s="13" t="n">
        <v>3</v>
      </c>
      <c r="B7" s="13" t="n">
        <v>1</v>
      </c>
      <c r="C7" s="22" t="n"/>
      <c r="D7" s="13" t="inlineStr">
        <is>
          <t>Foundations</t>
        </is>
      </c>
      <c r="E7" s="13" t="inlineStr">
        <is>
          <t>Git Advanced</t>
        </is>
      </c>
      <c r="F7" s="13" t="inlineStr">
        <is>
          <t>Practice rebase, cherry-pick, interactive rebase, stash; resolve 3 merge conflicts intentionally</t>
        </is>
      </c>
      <c r="G7" s="13" t="inlineStr">
        <is>
          <t>Code</t>
        </is>
      </c>
      <c r="H7" s="13" t="inlineStr">
        <is>
          <t>Pro Git ch.7 + Atlassian Git tutorial</t>
        </is>
      </c>
      <c r="I7" s="15" t="n">
        <v>5</v>
      </c>
      <c r="J7" s="15" t="n">
        <v>0</v>
      </c>
      <c r="K7" s="13" t="inlineStr">
        <is>
          <t>Not Started</t>
        </is>
      </c>
      <c r="L7" s="13" t="inlineStr"/>
    </row>
    <row r="8" ht="30" customHeight="1">
      <c r="A8" s="17" t="n">
        <v>4</v>
      </c>
      <c r="B8" s="17" t="n">
        <v>1</v>
      </c>
      <c r="C8" s="23" t="n"/>
      <c r="D8" s="17" t="inlineStr">
        <is>
          <t>Foundations</t>
        </is>
      </c>
      <c r="E8" s="17" t="inlineStr">
        <is>
          <t>Linux CLI</t>
        </is>
      </c>
      <c r="F8" s="17" t="inlineStr">
        <is>
          <t>Master bash basics: pipes, redirection, grep, sed, awk, find, xargs; build 5 one-liners</t>
        </is>
      </c>
      <c r="G8" s="17" t="inlineStr">
        <is>
          <t>Study</t>
        </is>
      </c>
      <c r="H8" s="17" t="inlineStr">
        <is>
          <t>MIT Missing Semester lec 1-3</t>
        </is>
      </c>
      <c r="I8" s="19" t="n">
        <v>5</v>
      </c>
      <c r="J8" s="19" t="n">
        <v>0</v>
      </c>
      <c r="K8" s="17" t="inlineStr">
        <is>
          <t>Not Started</t>
        </is>
      </c>
      <c r="L8" s="17" t="inlineStr"/>
    </row>
    <row r="9" ht="30" customHeight="1">
      <c r="A9" s="13" t="n">
        <v>5</v>
      </c>
      <c r="B9" s="13" t="n">
        <v>1</v>
      </c>
      <c r="C9" s="22" t="n"/>
      <c r="D9" s="13" t="inlineStr">
        <is>
          <t>Foundations</t>
        </is>
      </c>
      <c r="E9" s="13" t="inlineStr">
        <is>
          <t>Python Refresh</t>
        </is>
      </c>
      <c r="F9" s="13" t="inlineStr">
        <is>
          <t>Fluent Python ch.1-3: data model, sequences, dict &amp; set internals</t>
        </is>
      </c>
      <c r="G9" s="13" t="inlineStr">
        <is>
          <t>Reading</t>
        </is>
      </c>
      <c r="H9" s="13" t="inlineStr">
        <is>
          <t>Fluent Python — Luciano Ramalho</t>
        </is>
      </c>
      <c r="I9" s="15" t="n">
        <v>6</v>
      </c>
      <c r="J9" s="15" t="n">
        <v>0</v>
      </c>
      <c r="K9" s="13" t="inlineStr">
        <is>
          <t>Not Started</t>
        </is>
      </c>
      <c r="L9" s="13" t="inlineStr"/>
    </row>
    <row r="10" ht="30" customHeight="1">
      <c r="A10" s="17" t="n">
        <v>6</v>
      </c>
      <c r="B10" s="17" t="n">
        <v>1</v>
      </c>
      <c r="C10" s="23" t="n"/>
      <c r="D10" s="17" t="inlineStr">
        <is>
          <t>Foundations</t>
        </is>
      </c>
      <c r="E10" s="17" t="inlineStr">
        <is>
          <t>Python Typing</t>
        </is>
      </c>
      <c r="F10" s="17" t="inlineStr">
        <is>
          <t>Master type hints, Protocol, TypedDict, Generic; convert an old script to fully typed + mypy strict clean</t>
        </is>
      </c>
      <c r="G10" s="17" t="inlineStr">
        <is>
          <t>Code</t>
        </is>
      </c>
      <c r="H10" s="17" t="inlineStr">
        <is>
          <t>mypy.readthedocs.io + PEP 484/544</t>
        </is>
      </c>
      <c r="I10" s="19" t="n">
        <v>5</v>
      </c>
      <c r="J10" s="19" t="n">
        <v>0</v>
      </c>
      <c r="K10" s="17" t="inlineStr">
        <is>
          <t>Not Started</t>
        </is>
      </c>
      <c r="L10" s="17" t="inlineStr"/>
    </row>
    <row r="11" ht="30" customHeight="1">
      <c r="A11" s="13" t="n">
        <v>7</v>
      </c>
      <c r="B11" s="13" t="n">
        <v>1</v>
      </c>
      <c r="C11" s="22" t="n"/>
      <c r="D11" s="13" t="inlineStr">
        <is>
          <t>Foundations</t>
        </is>
      </c>
      <c r="E11" s="13" t="inlineStr">
        <is>
          <t>CLI Project</t>
        </is>
      </c>
      <c r="F11" s="13" t="inlineStr">
        <is>
          <t>Build CLI Task Manager with Click + SQLite + pytest; push to GitHub with README + CI workflow</t>
        </is>
      </c>
      <c r="G11" s="13" t="inlineStr">
        <is>
          <t>Project</t>
        </is>
      </c>
      <c r="H11" s="13" t="inlineStr">
        <is>
          <t>github.com/pallets/click</t>
        </is>
      </c>
      <c r="I11" s="15" t="n">
        <v>6</v>
      </c>
      <c r="J11" s="15" t="n">
        <v>0</v>
      </c>
      <c r="K11" s="13" t="inlineStr">
        <is>
          <t>Not Started</t>
        </is>
      </c>
      <c r="L11" s="13" t="inlineStr"/>
    </row>
    <row r="12" ht="30" customHeight="1">
      <c r="A12" s="17" t="n">
        <v>8</v>
      </c>
      <c r="B12" s="17" t="n">
        <v>2</v>
      </c>
      <c r="C12" s="23" t="n"/>
      <c r="D12" s="17" t="inlineStr">
        <is>
          <t>CS Fundamentals</t>
        </is>
      </c>
      <c r="E12" s="17" t="inlineStr">
        <is>
          <t>OS — Processes</t>
        </is>
      </c>
      <c r="F12" s="17" t="inlineStr">
        <is>
          <t>OSTEP ch.4-6: processes, API, scheduling; write notes + 10 flashcards</t>
        </is>
      </c>
      <c r="G12" s="17" t="inlineStr">
        <is>
          <t>Reading</t>
        </is>
      </c>
      <c r="H12" s="17" t="inlineStr">
        <is>
          <t>OSTEP (free PDF)</t>
        </is>
      </c>
      <c r="I12" s="19" t="n">
        <v>6</v>
      </c>
      <c r="J12" s="19" t="n">
        <v>0</v>
      </c>
      <c r="K12" s="17" t="inlineStr">
        <is>
          <t>Not Started</t>
        </is>
      </c>
      <c r="L12" s="17" t="inlineStr"/>
    </row>
    <row r="13" ht="30" customHeight="1">
      <c r="A13" s="13" t="n">
        <v>9</v>
      </c>
      <c r="B13" s="13" t="n">
        <v>2</v>
      </c>
      <c r="C13" s="22" t="n"/>
      <c r="D13" s="13" t="inlineStr">
        <is>
          <t>CS Fundamentals</t>
        </is>
      </c>
      <c r="E13" s="13" t="inlineStr">
        <is>
          <t>OS — Threads</t>
        </is>
      </c>
      <c r="F13" s="13" t="inlineStr">
        <is>
          <t>OSTEP ch.26-28: threads, locks, condition variables; code a producer/consumer in Python</t>
        </is>
      </c>
      <c r="G13" s="13" t="inlineStr">
        <is>
          <t>Code</t>
        </is>
      </c>
      <c r="H13" s="13" t="inlineStr">
        <is>
          <t>OSTEP Concurrency</t>
        </is>
      </c>
      <c r="I13" s="15" t="n">
        <v>6</v>
      </c>
      <c r="J13" s="15" t="n">
        <v>0</v>
      </c>
      <c r="K13" s="13" t="inlineStr">
        <is>
          <t>Not Started</t>
        </is>
      </c>
      <c r="L13" s="13" t="inlineStr"/>
    </row>
    <row r="14" ht="30" customHeight="1">
      <c r="A14" s="17" t="n">
        <v>10</v>
      </c>
      <c r="B14" s="17" t="n">
        <v>2</v>
      </c>
      <c r="C14" s="23" t="n"/>
      <c r="D14" s="17" t="inlineStr">
        <is>
          <t>CS Fundamentals</t>
        </is>
      </c>
      <c r="E14" s="17" t="inlineStr">
        <is>
          <t>OS — Memory</t>
        </is>
      </c>
      <c r="F14" s="17" t="inlineStr">
        <is>
          <t>Virtual memory, paging, TLB, page faults; draw memory layout diagram for a C/Python process</t>
        </is>
      </c>
      <c r="G14" s="17" t="inlineStr">
        <is>
          <t>Study</t>
        </is>
      </c>
      <c r="H14" s="17" t="inlineStr">
        <is>
          <t>OSTEP ch.13-22</t>
        </is>
      </c>
      <c r="I14" s="19" t="n">
        <v>6</v>
      </c>
      <c r="J14" s="19" t="n">
        <v>0</v>
      </c>
      <c r="K14" s="17" t="inlineStr">
        <is>
          <t>Not Started</t>
        </is>
      </c>
      <c r="L14" s="17" t="inlineStr"/>
    </row>
    <row r="15" ht="30" customHeight="1">
      <c r="A15" s="13" t="n">
        <v>11</v>
      </c>
      <c r="B15" s="13" t="n">
        <v>2</v>
      </c>
      <c r="C15" s="22" t="n"/>
      <c r="D15" s="13" t="inlineStr">
        <is>
          <t>CS Fundamentals</t>
        </is>
      </c>
      <c r="E15" s="13" t="inlineStr">
        <is>
          <t>Networks — TCP/IP</t>
        </is>
      </c>
      <c r="F15" s="13" t="inlineStr">
        <is>
          <t>Beej's Networking Guide; explain 3-way handshake + TCP states from memory</t>
        </is>
      </c>
      <c r="G15" s="13" t="inlineStr">
        <is>
          <t>Reading</t>
        </is>
      </c>
      <c r="H15" s="13" t="inlineStr">
        <is>
          <t>beej.us/guide/bgnet</t>
        </is>
      </c>
      <c r="I15" s="15" t="n">
        <v>6</v>
      </c>
      <c r="J15" s="15" t="n">
        <v>0</v>
      </c>
      <c r="K15" s="13" t="inlineStr">
        <is>
          <t>Not Started</t>
        </is>
      </c>
      <c r="L15" s="13" t="inlineStr"/>
    </row>
    <row r="16" ht="30" customHeight="1">
      <c r="A16" s="17" t="n">
        <v>12</v>
      </c>
      <c r="B16" s="17" t="n">
        <v>2</v>
      </c>
      <c r="C16" s="23" t="n"/>
      <c r="D16" s="17" t="inlineStr">
        <is>
          <t>CS Fundamentals</t>
        </is>
      </c>
      <c r="E16" s="17" t="inlineStr">
        <is>
          <t>Networks — HTTP</t>
        </is>
      </c>
      <c r="F16" s="17" t="inlineStr">
        <is>
          <t>HTTP/1.1 vs HTTP/2 vs HTTP/3; inspect real traffic with curl -v and Wireshark</t>
        </is>
      </c>
      <c r="G16" s="17" t="inlineStr">
        <is>
          <t>Code</t>
        </is>
      </c>
      <c r="H16" s="17" t="inlineStr">
        <is>
          <t>MDN HTTP docs</t>
        </is>
      </c>
      <c r="I16" s="19" t="n">
        <v>6</v>
      </c>
      <c r="J16" s="19" t="n">
        <v>0</v>
      </c>
      <c r="K16" s="17" t="inlineStr">
        <is>
          <t>Not Started</t>
        </is>
      </c>
      <c r="L16" s="17" t="inlineStr"/>
    </row>
    <row r="17" ht="30" customHeight="1">
      <c r="A17" s="13" t="n">
        <v>13</v>
      </c>
      <c r="B17" s="13" t="n">
        <v>2</v>
      </c>
      <c r="C17" s="22" t="n"/>
      <c r="D17" s="13" t="inlineStr">
        <is>
          <t>CS Fundamentals</t>
        </is>
      </c>
      <c r="E17" s="13" t="inlineStr">
        <is>
          <t>DBMS — Relational</t>
        </is>
      </c>
      <c r="F17" s="13" t="inlineStr">
        <is>
          <t>Relational model, keys, normalization 1NF→3NF→BCNF; normalize a messy schema by hand</t>
        </is>
      </c>
      <c r="G17" s="13" t="inlineStr">
        <is>
          <t>Study</t>
        </is>
      </c>
      <c r="H17" s="13" t="inlineStr">
        <is>
          <t>CMU 15-445 lec 1-3</t>
        </is>
      </c>
      <c r="I17" s="15" t="n">
        <v>5</v>
      </c>
      <c r="J17" s="15" t="n">
        <v>0</v>
      </c>
      <c r="K17" s="13" t="inlineStr">
        <is>
          <t>Not Started</t>
        </is>
      </c>
      <c r="L17" s="13" t="inlineStr"/>
    </row>
    <row r="18" ht="30" customHeight="1">
      <c r="A18" s="17" t="n">
        <v>14</v>
      </c>
      <c r="B18" s="17" t="n">
        <v>2</v>
      </c>
      <c r="C18" s="23" t="n"/>
      <c r="D18" s="17" t="inlineStr">
        <is>
          <t>CS Fundamentals</t>
        </is>
      </c>
      <c r="E18" s="17" t="inlineStr">
        <is>
          <t>DBMS — Indexes</t>
        </is>
      </c>
      <c r="F18" s="17" t="inlineStr">
        <is>
          <t>B-trees, hash indexes, query planning; run EXPLAIN ANALYZE on 5 queries in Postgres</t>
        </is>
      </c>
      <c r="G18" s="17" t="inlineStr">
        <is>
          <t>Code</t>
        </is>
      </c>
      <c r="H18" s="17" t="inlineStr">
        <is>
          <t>Use Mode SQL tutorial dataset</t>
        </is>
      </c>
      <c r="I18" s="19" t="n">
        <v>5</v>
      </c>
      <c r="J18" s="19" t="n">
        <v>0</v>
      </c>
      <c r="K18" s="17" t="inlineStr">
        <is>
          <t>Not Started</t>
        </is>
      </c>
      <c r="L18" s="17" t="inlineStr"/>
    </row>
    <row r="19" ht="30" customHeight="1">
      <c r="A19" s="13" t="n">
        <v>15</v>
      </c>
      <c r="B19" s="13" t="n">
        <v>3</v>
      </c>
      <c r="C19" s="22" t="n"/>
      <c r="D19" s="13" t="inlineStr">
        <is>
          <t>Software Engineering</t>
        </is>
      </c>
      <c r="E19" s="13" t="inlineStr">
        <is>
          <t>SOLID</t>
        </is>
      </c>
      <c r="F19" s="13" t="inlineStr">
        <is>
          <t>Read each SOLID principle with examples; refactor a smelly class to satisfy all 5</t>
        </is>
      </c>
      <c r="G19" s="13" t="inlineStr">
        <is>
          <t>Study</t>
        </is>
      </c>
      <c r="H19" s="13" t="inlineStr">
        <is>
          <t>Robert Martin — Clean Code</t>
        </is>
      </c>
      <c r="I19" s="15" t="n">
        <v>5</v>
      </c>
      <c r="J19" s="15" t="n">
        <v>0</v>
      </c>
      <c r="K19" s="13" t="inlineStr">
        <is>
          <t>Not Started</t>
        </is>
      </c>
      <c r="L19" s="13" t="inlineStr"/>
    </row>
    <row r="20" ht="30" customHeight="1">
      <c r="A20" s="17" t="n">
        <v>16</v>
      </c>
      <c r="B20" s="17" t="n">
        <v>3</v>
      </c>
      <c r="C20" s="23" t="n"/>
      <c r="D20" s="17" t="inlineStr">
        <is>
          <t>Software Engineering</t>
        </is>
      </c>
      <c r="E20" s="17" t="inlineStr">
        <is>
          <t>Design Patterns</t>
        </is>
      </c>
      <c r="F20" s="17" t="inlineStr">
        <is>
          <t>Strategy, Factory, Observer, Repository, Adapter — implement each in Python</t>
        </is>
      </c>
      <c r="G20" s="17" t="inlineStr">
        <is>
          <t>Code</t>
        </is>
      </c>
      <c r="H20" s="17" t="inlineStr">
        <is>
          <t>refactoring.guru/design-patterns</t>
        </is>
      </c>
      <c r="I20" s="19" t="n">
        <v>7</v>
      </c>
      <c r="J20" s="19" t="n">
        <v>0</v>
      </c>
      <c r="K20" s="17" t="inlineStr">
        <is>
          <t>Not Started</t>
        </is>
      </c>
      <c r="L20" s="17" t="inlineStr"/>
    </row>
    <row r="21" ht="30" customHeight="1">
      <c r="A21" s="13" t="n">
        <v>17</v>
      </c>
      <c r="B21" s="13" t="n">
        <v>3</v>
      </c>
      <c r="C21" s="22" t="n"/>
      <c r="D21" s="13" t="inlineStr">
        <is>
          <t>Software Engineering</t>
        </is>
      </c>
      <c r="E21" s="13" t="inlineStr">
        <is>
          <t>Clean Code</t>
        </is>
      </c>
      <c r="F21" s="13" t="inlineStr">
        <is>
          <t>Read Clean Code ch.2-5: naming, functions, comments, formatting; refactor an old project file</t>
        </is>
      </c>
      <c r="G21" s="13" t="inlineStr">
        <is>
          <t>Reading</t>
        </is>
      </c>
      <c r="H21" s="13" t="inlineStr">
        <is>
          <t>Clean Code — Robert Martin</t>
        </is>
      </c>
      <c r="I21" s="15" t="n">
        <v>5</v>
      </c>
      <c r="J21" s="15" t="n">
        <v>0</v>
      </c>
      <c r="K21" s="13" t="inlineStr">
        <is>
          <t>Not Started</t>
        </is>
      </c>
      <c r="L21" s="13" t="inlineStr"/>
    </row>
    <row r="22" ht="30" customHeight="1">
      <c r="A22" s="17" t="n">
        <v>18</v>
      </c>
      <c r="B22" s="17" t="n">
        <v>3</v>
      </c>
      <c r="C22" s="23" t="n"/>
      <c r="D22" s="17" t="inlineStr">
        <is>
          <t>Software Engineering</t>
        </is>
      </c>
      <c r="E22" s="17" t="inlineStr">
        <is>
          <t>Testing — Unit</t>
        </is>
      </c>
      <c r="F22" s="17" t="inlineStr">
        <is>
          <t>pytest fixtures, parametrize, monkeypatch; achieve 90% coverage on CLI Task Manager</t>
        </is>
      </c>
      <c r="G22" s="17" t="inlineStr">
        <is>
          <t>Code</t>
        </is>
      </c>
      <c r="H22" s="17" t="inlineStr">
        <is>
          <t>pytest docs</t>
        </is>
      </c>
      <c r="I22" s="19" t="n">
        <v>6</v>
      </c>
      <c r="J22" s="19" t="n">
        <v>0</v>
      </c>
      <c r="K22" s="17" t="inlineStr">
        <is>
          <t>Not Started</t>
        </is>
      </c>
      <c r="L22" s="17" t="inlineStr"/>
    </row>
    <row r="23" ht="30" customHeight="1">
      <c r="A23" s="13" t="n">
        <v>19</v>
      </c>
      <c r="B23" s="13" t="n">
        <v>3</v>
      </c>
      <c r="C23" s="22" t="n"/>
      <c r="D23" s="13" t="inlineStr">
        <is>
          <t>Software Engineering</t>
        </is>
      </c>
      <c r="E23" s="13" t="inlineStr">
        <is>
          <t>Testing — Integration</t>
        </is>
      </c>
      <c r="F23" s="13" t="inlineStr">
        <is>
          <t>Test DB layer with testcontainers; add Postman/httpx integration tests for the TODO API</t>
        </is>
      </c>
      <c r="G23" s="13" t="inlineStr">
        <is>
          <t>Code</t>
        </is>
      </c>
      <c r="H23" s="13" t="inlineStr">
        <is>
          <t>testcontainers.com</t>
        </is>
      </c>
      <c r="I23" s="15" t="n">
        <v>6</v>
      </c>
      <c r="J23" s="15" t="n">
        <v>0</v>
      </c>
      <c r="K23" s="13" t="inlineStr">
        <is>
          <t>Not Started</t>
        </is>
      </c>
      <c r="L23" s="13" t="inlineStr"/>
    </row>
    <row r="24" ht="30" customHeight="1">
      <c r="A24" s="17" t="n">
        <v>20</v>
      </c>
      <c r="B24" s="17" t="n">
        <v>3</v>
      </c>
      <c r="C24" s="23" t="n"/>
      <c r="D24" s="17" t="inlineStr">
        <is>
          <t>Software Engineering</t>
        </is>
      </c>
      <c r="E24" s="17" t="inlineStr">
        <is>
          <t>REST Design</t>
        </is>
      </c>
      <c r="F24" s="17" t="inlineStr">
        <is>
          <t>Read REST API guidelines (Microsoft) + JSON:API; design resources for a blog API</t>
        </is>
      </c>
      <c r="G24" s="17" t="inlineStr">
        <is>
          <t>Study</t>
        </is>
      </c>
      <c r="H24" s="17" t="inlineStr">
        <is>
          <t>github.com/microsoft/api-guidelines</t>
        </is>
      </c>
      <c r="I24" s="19" t="n">
        <v>5</v>
      </c>
      <c r="J24" s="19" t="n">
        <v>0</v>
      </c>
      <c r="K24" s="17" t="inlineStr">
        <is>
          <t>Not Started</t>
        </is>
      </c>
      <c r="L24" s="17" t="inlineStr"/>
    </row>
    <row r="25" ht="30" customHeight="1">
      <c r="A25" s="13" t="n">
        <v>21</v>
      </c>
      <c r="B25" s="13" t="n">
        <v>3</v>
      </c>
      <c r="C25" s="22" t="n"/>
      <c r="D25" s="13" t="inlineStr">
        <is>
          <t>Software Engineering</t>
        </is>
      </c>
      <c r="E25" s="13" t="inlineStr">
        <is>
          <t>Refactor Sprint</t>
        </is>
      </c>
      <c r="F25" s="13" t="inlineStr">
        <is>
          <t>Refactor TODO API: layered architecture, repository pattern, full test coverage; push v2 to GitHub</t>
        </is>
      </c>
      <c r="G25" s="13" t="inlineStr">
        <is>
          <t>Project</t>
        </is>
      </c>
      <c r="H25" s="13" t="inlineStr">
        <is>
          <t>Capstone of Week 3</t>
        </is>
      </c>
      <c r="I25" s="15" t="n">
        <v>7</v>
      </c>
      <c r="J25" s="15" t="n">
        <v>0</v>
      </c>
      <c r="K25" s="13" t="inlineStr">
        <is>
          <t>Not Started</t>
        </is>
      </c>
      <c r="L25" s="13" t="inlineStr"/>
    </row>
    <row r="26" ht="30" customHeight="1">
      <c r="A26" s="17" t="n">
        <v>22</v>
      </c>
      <c r="B26" s="17" t="n">
        <v>4</v>
      </c>
      <c r="C26" s="23" t="n"/>
      <c r="D26" s="17" t="inlineStr">
        <is>
          <t>Backend Mastery</t>
        </is>
      </c>
      <c r="E26" s="17" t="inlineStr">
        <is>
          <t>FastAPI Core</t>
        </is>
      </c>
      <c r="F26" s="17" t="inlineStr">
        <is>
          <t>FastAPI tutorial 1-10: path/query/body params, response models, deps</t>
        </is>
      </c>
      <c r="G26" s="17" t="inlineStr">
        <is>
          <t>Reading</t>
        </is>
      </c>
      <c r="H26" s="17" t="inlineStr">
        <is>
          <t>fastapi.tiangolo.com</t>
        </is>
      </c>
      <c r="I26" s="19" t="n">
        <v>6</v>
      </c>
      <c r="J26" s="19" t="n">
        <v>0</v>
      </c>
      <c r="K26" s="17" t="inlineStr">
        <is>
          <t>Not Started</t>
        </is>
      </c>
      <c r="L26" s="17" t="inlineStr"/>
    </row>
    <row r="27" ht="30" customHeight="1">
      <c r="A27" s="13" t="n">
        <v>23</v>
      </c>
      <c r="B27" s="13" t="n">
        <v>4</v>
      </c>
      <c r="C27" s="22" t="n"/>
      <c r="D27" s="13" t="inlineStr">
        <is>
          <t>Backend Mastery</t>
        </is>
      </c>
      <c r="E27" s="13" t="inlineStr">
        <is>
          <t>Postgres + SQLAlchemy</t>
        </is>
      </c>
      <c r="F27" s="13" t="inlineStr">
        <is>
          <t>Set up Postgres in Docker; model 4 tables with SQLAlchemy 2.0 declarative + relationships</t>
        </is>
      </c>
      <c r="G27" s="13" t="inlineStr">
        <is>
          <t>Code</t>
        </is>
      </c>
      <c r="H27" s="13" t="inlineStr">
        <is>
          <t>docs.sqlalchemy.org</t>
        </is>
      </c>
      <c r="I27" s="15" t="n">
        <v>7</v>
      </c>
      <c r="J27" s="15" t="n">
        <v>0</v>
      </c>
      <c r="K27" s="13" t="inlineStr">
        <is>
          <t>Not Started</t>
        </is>
      </c>
      <c r="L27" s="13" t="inlineStr"/>
    </row>
    <row r="28" ht="30" customHeight="1">
      <c r="A28" s="17" t="n">
        <v>24</v>
      </c>
      <c r="B28" s="17" t="n">
        <v>4</v>
      </c>
      <c r="C28" s="23" t="n"/>
      <c r="D28" s="17" t="inlineStr">
        <is>
          <t>Backend Mastery</t>
        </is>
      </c>
      <c r="E28" s="17" t="inlineStr">
        <is>
          <t>Alembic Migrations</t>
        </is>
      </c>
      <c r="F28" s="17" t="inlineStr">
        <is>
          <t>Initialize Alembic; create 3 incremental migrations; practice downgrade</t>
        </is>
      </c>
      <c r="G28" s="17" t="inlineStr">
        <is>
          <t>Code</t>
        </is>
      </c>
      <c r="H28" s="17" t="inlineStr">
        <is>
          <t>alembic.sqlalchemy.org</t>
        </is>
      </c>
      <c r="I28" s="19" t="n">
        <v>5</v>
      </c>
      <c r="J28" s="19" t="n">
        <v>0</v>
      </c>
      <c r="K28" s="17" t="inlineStr">
        <is>
          <t>Not Started</t>
        </is>
      </c>
      <c r="L28" s="17" t="inlineStr"/>
    </row>
    <row r="29" ht="30" customHeight="1">
      <c r="A29" s="13" t="n">
        <v>25</v>
      </c>
      <c r="B29" s="13" t="n">
        <v>4</v>
      </c>
      <c r="C29" s="22" t="n"/>
      <c r="D29" s="13" t="inlineStr">
        <is>
          <t>Backend Mastery</t>
        </is>
      </c>
      <c r="E29" s="13" t="inlineStr">
        <is>
          <t>Pydantic v2</t>
        </is>
      </c>
      <c r="F29" s="13" t="inlineStr">
        <is>
          <t>Master BaseModel, validators, computed fields, settings; migrate API schemas to v2</t>
        </is>
      </c>
      <c r="G29" s="13" t="inlineStr">
        <is>
          <t>Code</t>
        </is>
      </c>
      <c r="H29" s="13" t="inlineStr">
        <is>
          <t>docs.pydantic.dev</t>
        </is>
      </c>
      <c r="I29" s="15" t="n">
        <v>6</v>
      </c>
      <c r="J29" s="15" t="n">
        <v>0</v>
      </c>
      <c r="K29" s="13" t="inlineStr">
        <is>
          <t>Not Started</t>
        </is>
      </c>
      <c r="L29" s="13" t="inlineStr"/>
    </row>
    <row r="30" ht="30" customHeight="1">
      <c r="A30" s="17" t="n">
        <v>26</v>
      </c>
      <c r="B30" s="17" t="n">
        <v>4</v>
      </c>
      <c r="C30" s="23" t="n"/>
      <c r="D30" s="17" t="inlineStr">
        <is>
          <t>Backend Mastery</t>
        </is>
      </c>
      <c r="E30" s="17" t="inlineStr">
        <is>
          <t>JWT Auth</t>
        </is>
      </c>
      <c r="F30" s="17" t="inlineStr">
        <is>
          <t>Implement /signup, /login, JWT access + refresh tokens with HTTP-only cookies</t>
        </is>
      </c>
      <c r="G30" s="17" t="inlineStr">
        <is>
          <t>Code</t>
        </is>
      </c>
      <c r="H30" s="17" t="inlineStr">
        <is>
          <t>FastAPI Security tutorial</t>
        </is>
      </c>
      <c r="I30" s="19" t="n">
        <v>8</v>
      </c>
      <c r="J30" s="19" t="n">
        <v>0</v>
      </c>
      <c r="K30" s="17" t="inlineStr">
        <is>
          <t>Not Started</t>
        </is>
      </c>
      <c r="L30" s="17" t="inlineStr"/>
    </row>
    <row r="31" ht="30" customHeight="1">
      <c r="A31" s="13" t="n">
        <v>27</v>
      </c>
      <c r="B31" s="13" t="n">
        <v>4</v>
      </c>
      <c r="C31" s="22" t="n"/>
      <c r="D31" s="13" t="inlineStr">
        <is>
          <t>Backend Mastery</t>
        </is>
      </c>
      <c r="E31" s="13" t="inlineStr">
        <is>
          <t>Middleware &amp; DI</t>
        </is>
      </c>
      <c r="F31" s="13" t="inlineStr">
        <is>
          <t>Custom middleware for logging + request ID; use Depends() for auth &amp; DB session</t>
        </is>
      </c>
      <c r="G31" s="13" t="inlineStr">
        <is>
          <t>Code</t>
        </is>
      </c>
      <c r="H31" s="13" t="inlineStr">
        <is>
          <t>FastAPI Advanced</t>
        </is>
      </c>
      <c r="I31" s="15" t="n">
        <v>6</v>
      </c>
      <c r="J31" s="15" t="n">
        <v>0</v>
      </c>
      <c r="K31" s="13" t="inlineStr">
        <is>
          <t>Not Started</t>
        </is>
      </c>
      <c r="L31" s="13" t="inlineStr"/>
    </row>
    <row r="32" ht="30" customHeight="1">
      <c r="A32" s="17" t="n">
        <v>28</v>
      </c>
      <c r="B32" s="17" t="n">
        <v>4</v>
      </c>
      <c r="C32" s="23" t="n"/>
      <c r="D32" s="17" t="inlineStr">
        <is>
          <t>Backend Mastery</t>
        </is>
      </c>
      <c r="E32" s="17" t="inlineStr">
        <is>
          <t>Project Build</t>
        </is>
      </c>
      <c r="F32" s="17" t="inlineStr">
        <is>
          <t>Wire everything: ship Production REST API with auth, migrations, OpenAPI docs, pytest suite</t>
        </is>
      </c>
      <c r="G32" s="17" t="inlineStr">
        <is>
          <t>Project</t>
        </is>
      </c>
      <c r="H32" s="17" t="inlineStr">
        <is>
          <t>Week 4 deliverable</t>
        </is>
      </c>
      <c r="I32" s="19" t="n">
        <v>8</v>
      </c>
      <c r="J32" s="19" t="n">
        <v>0</v>
      </c>
      <c r="K32" s="17" t="inlineStr">
        <is>
          <t>Not Started</t>
        </is>
      </c>
      <c r="L32" s="17" t="inlineStr"/>
    </row>
    <row r="33" ht="30" customHeight="1">
      <c r="A33" s="13" t="n">
        <v>29</v>
      </c>
      <c r="B33" s="13" t="n">
        <v>5</v>
      </c>
      <c r="C33" s="22" t="n"/>
      <c r="D33" s="13" t="inlineStr">
        <is>
          <t>DevOps &amp; Cloud</t>
        </is>
      </c>
      <c r="E33" s="13" t="inlineStr">
        <is>
          <t>Docker Basics</t>
        </is>
      </c>
      <c r="F33" s="13" t="inlineStr">
        <is>
          <t>Docker Deep Dive ch.1-5; write Dockerfile for FastAPI app with multi-stage build</t>
        </is>
      </c>
      <c r="G33" s="13" t="inlineStr">
        <is>
          <t>Reading</t>
        </is>
      </c>
      <c r="H33" s="13" t="inlineStr">
        <is>
          <t>Docker Deep Dive — Nigel Poulton</t>
        </is>
      </c>
      <c r="I33" s="15" t="n">
        <v>6</v>
      </c>
      <c r="J33" s="15" t="n">
        <v>0</v>
      </c>
      <c r="K33" s="13" t="inlineStr">
        <is>
          <t>Not Started</t>
        </is>
      </c>
      <c r="L33" s="13" t="inlineStr"/>
    </row>
    <row r="34" ht="30" customHeight="1">
      <c r="A34" s="17" t="n">
        <v>30</v>
      </c>
      <c r="B34" s="17" t="n">
        <v>5</v>
      </c>
      <c r="C34" s="23" t="n"/>
      <c r="D34" s="17" t="inlineStr">
        <is>
          <t>DevOps &amp; Cloud</t>
        </is>
      </c>
      <c r="E34" s="17" t="inlineStr">
        <is>
          <t>docker-compose</t>
        </is>
      </c>
      <c r="F34" s="17" t="inlineStr">
        <is>
          <t>Compose: api + postgres + redis + nginx; healthchecks; named volumes</t>
        </is>
      </c>
      <c r="G34" s="17" t="inlineStr">
        <is>
          <t>Code</t>
        </is>
      </c>
      <c r="H34" s="17" t="inlineStr">
        <is>
          <t>docs.docker.com/compose</t>
        </is>
      </c>
      <c r="I34" s="19" t="n">
        <v>6</v>
      </c>
      <c r="J34" s="19" t="n">
        <v>0</v>
      </c>
      <c r="K34" s="17" t="inlineStr">
        <is>
          <t>Not Started</t>
        </is>
      </c>
      <c r="L34" s="17" t="inlineStr"/>
    </row>
    <row r="35" ht="30" customHeight="1">
      <c r="A35" s="13" t="n">
        <v>31</v>
      </c>
      <c r="B35" s="13" t="n">
        <v>5</v>
      </c>
      <c r="C35" s="22" t="n"/>
      <c r="D35" s="13" t="inlineStr">
        <is>
          <t>DevOps &amp; Cloud</t>
        </is>
      </c>
      <c r="E35" s="13" t="inlineStr">
        <is>
          <t>AWS Basics</t>
        </is>
      </c>
      <c r="F35" s="13" t="inlineStr">
        <is>
          <t>AWS free tier setup; deploy EC2, S3 bucket, RDS Postgres; SSH + security groups</t>
        </is>
      </c>
      <c r="G35" s="13" t="inlineStr">
        <is>
          <t>Study</t>
        </is>
      </c>
      <c r="H35" s="13" t="inlineStr">
        <is>
          <t>AWS Free Tier docs</t>
        </is>
      </c>
      <c r="I35" s="15" t="n">
        <v>6</v>
      </c>
      <c r="J35" s="15" t="n">
        <v>0</v>
      </c>
      <c r="K35" s="13" t="inlineStr">
        <is>
          <t>Not Started</t>
        </is>
      </c>
      <c r="L35" s="13" t="inlineStr"/>
    </row>
    <row r="36" ht="30" customHeight="1">
      <c r="A36" s="17" t="n">
        <v>32</v>
      </c>
      <c r="B36" s="17" t="n">
        <v>5</v>
      </c>
      <c r="C36" s="23" t="n"/>
      <c r="D36" s="17" t="inlineStr">
        <is>
          <t>DevOps &amp; Cloud</t>
        </is>
      </c>
      <c r="E36" s="17" t="inlineStr">
        <is>
          <t>Deploy to EC2</t>
        </is>
      </c>
      <c r="F36" s="17" t="inlineStr">
        <is>
          <t>Deploy Dockerized API to EC2 behind Nginx reverse proxy with Let's Encrypt HTTPS</t>
        </is>
      </c>
      <c r="G36" s="17" t="inlineStr">
        <is>
          <t>Project</t>
        </is>
      </c>
      <c r="H36" s="17" t="inlineStr">
        <is>
          <t>Caddy/Nginx + certbot</t>
        </is>
      </c>
      <c r="I36" s="19" t="n">
        <v>7</v>
      </c>
      <c r="J36" s="19" t="n">
        <v>0</v>
      </c>
      <c r="K36" s="17" t="inlineStr">
        <is>
          <t>Not Started</t>
        </is>
      </c>
      <c r="L36" s="17" t="inlineStr"/>
    </row>
    <row r="37" ht="30" customHeight="1">
      <c r="A37" s="13" t="n">
        <v>33</v>
      </c>
      <c r="B37" s="13" t="n">
        <v>5</v>
      </c>
      <c r="C37" s="22" t="n"/>
      <c r="D37" s="13" t="inlineStr">
        <is>
          <t>DevOps &amp; Cloud</t>
        </is>
      </c>
      <c r="E37" s="13" t="inlineStr">
        <is>
          <t>CI/CD</t>
        </is>
      </c>
      <c r="F37" s="13" t="inlineStr">
        <is>
          <t>GitHub Actions: lint, test, build image, push to ECR, SSH-deploy to EC2</t>
        </is>
      </c>
      <c r="G37" s="13" t="inlineStr">
        <is>
          <t>Code</t>
        </is>
      </c>
      <c r="H37" s="13" t="inlineStr">
        <is>
          <t>docs.github.com/actions</t>
        </is>
      </c>
      <c r="I37" s="15" t="n">
        <v>7</v>
      </c>
      <c r="J37" s="15" t="n">
        <v>0</v>
      </c>
      <c r="K37" s="13" t="inlineStr">
        <is>
          <t>Not Started</t>
        </is>
      </c>
      <c r="L37" s="13" t="inlineStr"/>
    </row>
    <row r="38" ht="30" customHeight="1">
      <c r="A38" s="17" t="n">
        <v>34</v>
      </c>
      <c r="B38" s="17" t="n">
        <v>5</v>
      </c>
      <c r="C38" s="23" t="n"/>
      <c r="D38" s="17" t="inlineStr">
        <is>
          <t>DevOps &amp; Cloud</t>
        </is>
      </c>
      <c r="E38" s="17" t="inlineStr">
        <is>
          <t>Secrets &amp; Env</t>
        </is>
      </c>
      <c r="F38" s="17" t="inlineStr">
        <is>
          <t>AWS Parameter Store / Secrets Manager; refactor app to pull secrets at runtime</t>
        </is>
      </c>
      <c r="G38" s="17" t="inlineStr">
        <is>
          <t>Code</t>
        </is>
      </c>
      <c r="H38" s="17" t="inlineStr">
        <is>
          <t>AWS Secrets Manager docs</t>
        </is>
      </c>
      <c r="I38" s="19" t="n">
        <v>4</v>
      </c>
      <c r="J38" s="19" t="n">
        <v>0</v>
      </c>
      <c r="K38" s="17" t="inlineStr">
        <is>
          <t>Not Started</t>
        </is>
      </c>
      <c r="L38" s="17" t="inlineStr"/>
    </row>
    <row r="39" ht="30" customHeight="1">
      <c r="A39" s="13" t="n">
        <v>35</v>
      </c>
      <c r="B39" s="13" t="n">
        <v>5</v>
      </c>
      <c r="C39" s="22" t="n"/>
      <c r="D39" s="13" t="inlineStr">
        <is>
          <t>DevOps &amp; Cloud</t>
        </is>
      </c>
      <c r="E39" s="13" t="inlineStr">
        <is>
          <t>Production Hardening</t>
        </is>
      </c>
      <c r="F39" s="13" t="inlineStr">
        <is>
          <t>Add logging (structlog), gunicorn workers, healthcheck endpoint, basic monitoring</t>
        </is>
      </c>
      <c r="G39" s="13" t="inlineStr">
        <is>
          <t>Code</t>
        </is>
      </c>
      <c r="H39" s="13" t="inlineStr">
        <is>
          <t>Week 5 deliverable</t>
        </is>
      </c>
      <c r="I39" s="15" t="n">
        <v>6</v>
      </c>
      <c r="J39" s="15" t="n">
        <v>0</v>
      </c>
      <c r="K39" s="13" t="inlineStr">
        <is>
          <t>Not Started</t>
        </is>
      </c>
      <c r="L39" s="13" t="inlineStr"/>
    </row>
    <row r="40" ht="30" customHeight="1">
      <c r="A40" s="17" t="n">
        <v>36</v>
      </c>
      <c r="B40" s="17" t="n">
        <v>6</v>
      </c>
      <c r="C40" s="23" t="n"/>
      <c r="D40" s="17" t="inlineStr">
        <is>
          <t>ML &amp; LLM Foundations</t>
        </is>
      </c>
      <c r="E40" s="17" t="inlineStr">
        <is>
          <t>Numpy/Pandas Drills</t>
        </is>
      </c>
      <c r="F40" s="17" t="inlineStr">
        <is>
          <t>Solve 20 NumPy &amp; 20 Pandas exercises (Stratascratch / Kaggle Learn)</t>
        </is>
      </c>
      <c r="G40" s="17" t="inlineStr">
        <is>
          <t>Practice</t>
        </is>
      </c>
      <c r="H40" s="17" t="inlineStr">
        <is>
          <t>kaggle.com/learn</t>
        </is>
      </c>
      <c r="I40" s="19" t="n">
        <v>5</v>
      </c>
      <c r="J40" s="19" t="n">
        <v>0</v>
      </c>
      <c r="K40" s="17" t="inlineStr">
        <is>
          <t>Not Started</t>
        </is>
      </c>
      <c r="L40" s="17" t="inlineStr"/>
    </row>
    <row r="41" ht="30" customHeight="1">
      <c r="A41" s="13" t="n">
        <v>37</v>
      </c>
      <c r="B41" s="13" t="n">
        <v>6</v>
      </c>
      <c r="C41" s="22" t="n"/>
      <c r="D41" s="13" t="inlineStr">
        <is>
          <t>ML &amp; LLM Foundations</t>
        </is>
      </c>
      <c r="E41" s="13" t="inlineStr">
        <is>
          <t>Classical ML</t>
        </is>
      </c>
      <c r="F41" s="13" t="inlineStr">
        <is>
          <t>Hands-On ML ch.3-4: classification, training; train Logistic Reg on Titanic + write up</t>
        </is>
      </c>
      <c r="G41" s="13" t="inlineStr">
        <is>
          <t>Reading</t>
        </is>
      </c>
      <c r="H41" s="13" t="inlineStr">
        <is>
          <t>Hands-On ML — Géron</t>
        </is>
      </c>
      <c r="I41" s="15" t="n">
        <v>6</v>
      </c>
      <c r="J41" s="15" t="n">
        <v>0</v>
      </c>
      <c r="K41" s="13" t="inlineStr">
        <is>
          <t>Not Started</t>
        </is>
      </c>
      <c r="L41" s="13" t="inlineStr"/>
    </row>
    <row r="42" ht="30" customHeight="1">
      <c r="A42" s="17" t="n">
        <v>38</v>
      </c>
      <c r="B42" s="17" t="n">
        <v>6</v>
      </c>
      <c r="C42" s="23" t="n"/>
      <c r="D42" s="17" t="inlineStr">
        <is>
          <t>ML &amp; LLM Foundations</t>
        </is>
      </c>
      <c r="E42" s="17" t="inlineStr">
        <is>
          <t>Neural Nets from Scratch</t>
        </is>
      </c>
      <c r="F42" s="17" t="inlineStr">
        <is>
          <t>Karpathy NN Zero to Hero lec 1-2: micrograd + MLP from scratch</t>
        </is>
      </c>
      <c r="G42" s="17" t="inlineStr">
        <is>
          <t>Video</t>
        </is>
      </c>
      <c r="H42" s="17" t="inlineStr">
        <is>
          <t>https://karpathy.ai</t>
        </is>
      </c>
      <c r="I42" s="19" t="n">
        <v>8</v>
      </c>
      <c r="J42" s="19" t="n">
        <v>0</v>
      </c>
      <c r="K42" s="17" t="inlineStr">
        <is>
          <t>Not Started</t>
        </is>
      </c>
      <c r="L42" s="17" t="inlineStr"/>
    </row>
    <row r="43" ht="30" customHeight="1">
      <c r="A43" s="13" t="n">
        <v>39</v>
      </c>
      <c r="B43" s="13" t="n">
        <v>6</v>
      </c>
      <c r="C43" s="22" t="n"/>
      <c r="D43" s="13" t="inlineStr">
        <is>
          <t>ML &amp; LLM Foundations</t>
        </is>
      </c>
      <c r="E43" s="13" t="inlineStr">
        <is>
          <t>PyTorch Basics</t>
        </is>
      </c>
      <c r="F43" s="13" t="inlineStr">
        <is>
          <t>PyTorch 60-min blitz; train MNIST MLP; understand autograd + DataLoader</t>
        </is>
      </c>
      <c r="G43" s="13" t="inlineStr">
        <is>
          <t>Code</t>
        </is>
      </c>
      <c r="H43" s="13" t="inlineStr">
        <is>
          <t>pytorch.org/tutorials</t>
        </is>
      </c>
      <c r="I43" s="15" t="n">
        <v>6</v>
      </c>
      <c r="J43" s="15" t="n">
        <v>0</v>
      </c>
      <c r="K43" s="13" t="inlineStr">
        <is>
          <t>Not Started</t>
        </is>
      </c>
      <c r="L43" s="13" t="inlineStr"/>
    </row>
    <row r="44" ht="30" customHeight="1">
      <c r="A44" s="17" t="n">
        <v>40</v>
      </c>
      <c r="B44" s="17" t="n">
        <v>6</v>
      </c>
      <c r="C44" s="23" t="n"/>
      <c r="D44" s="17" t="inlineStr">
        <is>
          <t>ML &amp; LLM Foundations</t>
        </is>
      </c>
      <c r="E44" s="17" t="inlineStr">
        <is>
          <t>Transformers</t>
        </is>
      </c>
      <c r="F44" s="17" t="inlineStr">
        <is>
          <t>Read 'Attention Is All You Need' + 'Illustrated Transformer'; sketch architecture from memory</t>
        </is>
      </c>
      <c r="G44" s="17" t="inlineStr">
        <is>
          <t>Reading</t>
        </is>
      </c>
      <c r="H44" s="17" t="inlineStr">
        <is>
          <t>arxiv.org/abs/1706.03762</t>
        </is>
      </c>
      <c r="I44" s="19" t="n">
        <v>7</v>
      </c>
      <c r="J44" s="19" t="n">
        <v>0</v>
      </c>
      <c r="K44" s="17" t="inlineStr">
        <is>
          <t>Not Started</t>
        </is>
      </c>
      <c r="L44" s="17" t="inlineStr"/>
    </row>
    <row r="45" ht="30" customHeight="1">
      <c r="A45" s="13" t="n">
        <v>41</v>
      </c>
      <c r="B45" s="13" t="n">
        <v>6</v>
      </c>
      <c r="C45" s="22" t="n"/>
      <c r="D45" s="13" t="inlineStr">
        <is>
          <t>ML &amp; LLM Foundations</t>
        </is>
      </c>
      <c r="E45" s="13" t="inlineStr">
        <is>
          <t>HuggingFace</t>
        </is>
      </c>
      <c r="F45" s="13" t="inlineStr">
        <is>
          <t>HF Course ch.1-3: pipeline, tokenizers, fine-tune DistilBERT on IMDb</t>
        </is>
      </c>
      <c r="G45" s="13" t="inlineStr">
        <is>
          <t>Code</t>
        </is>
      </c>
      <c r="H45" s="13" t="inlineStr">
        <is>
          <t>huggingface.co/learn</t>
        </is>
      </c>
      <c r="I45" s="15" t="n">
        <v>8</v>
      </c>
      <c r="J45" s="15" t="n">
        <v>0</v>
      </c>
      <c r="K45" s="13" t="inlineStr">
        <is>
          <t>Not Started</t>
        </is>
      </c>
      <c r="L45" s="13" t="inlineStr"/>
    </row>
    <row r="46" ht="30" customHeight="1">
      <c r="A46" s="17" t="n">
        <v>42</v>
      </c>
      <c r="B46" s="17" t="n">
        <v>6</v>
      </c>
      <c r="C46" s="23" t="n"/>
      <c r="D46" s="17" t="inlineStr">
        <is>
          <t>ML &amp; LLM Foundations</t>
        </is>
      </c>
      <c r="E46" s="17" t="inlineStr">
        <is>
          <t>Sentiment API</t>
        </is>
      </c>
      <c r="F46" s="17" t="inlineStr">
        <is>
          <t>Wrap fine-tuned model in FastAPI endpoint, dockerize, deploy to AWS</t>
        </is>
      </c>
      <c r="G46" s="17" t="inlineStr">
        <is>
          <t>Project</t>
        </is>
      </c>
      <c r="H46" s="17" t="inlineStr">
        <is>
          <t>Week 6 deliverable</t>
        </is>
      </c>
      <c r="I46" s="19" t="n">
        <v>8</v>
      </c>
      <c r="J46" s="19" t="n">
        <v>0</v>
      </c>
      <c r="K46" s="17" t="inlineStr">
        <is>
          <t>Not Started</t>
        </is>
      </c>
      <c r="L46" s="17" t="inlineStr"/>
    </row>
    <row r="47" ht="30" customHeight="1">
      <c r="A47" s="13" t="n">
        <v>43</v>
      </c>
      <c r="B47" s="13" t="n">
        <v>7</v>
      </c>
      <c r="C47" s="22" t="n"/>
      <c r="D47" s="13" t="inlineStr">
        <is>
          <t>RAG &amp; Vector DBs</t>
        </is>
      </c>
      <c r="E47" s="13" t="inlineStr">
        <is>
          <t>Embeddings</t>
        </is>
      </c>
      <c r="F47" s="13" t="inlineStr">
        <is>
          <t>Read SBERT paper + OpenAI embeddings docs; compute &amp; visualize embeddings with t-SNE</t>
        </is>
      </c>
      <c r="G47" s="13" t="inlineStr">
        <is>
          <t>Reading</t>
        </is>
      </c>
      <c r="H47" s="13" t="inlineStr">
        <is>
          <t>arxiv.org/abs/1908.10084</t>
        </is>
      </c>
      <c r="I47" s="15" t="n">
        <v>5</v>
      </c>
      <c r="J47" s="15" t="n">
        <v>0</v>
      </c>
      <c r="K47" s="13" t="inlineStr">
        <is>
          <t>Not Started</t>
        </is>
      </c>
      <c r="L47" s="13" t="inlineStr"/>
    </row>
    <row r="48" ht="30" customHeight="1">
      <c r="A48" s="17" t="n">
        <v>44</v>
      </c>
      <c r="B48" s="17" t="n">
        <v>7</v>
      </c>
      <c r="C48" s="23" t="n"/>
      <c r="D48" s="17" t="inlineStr">
        <is>
          <t>RAG &amp; Vector DBs</t>
        </is>
      </c>
      <c r="E48" s="17" t="inlineStr">
        <is>
          <t>Chunking</t>
        </is>
      </c>
      <c r="F48" s="17" t="inlineStr">
        <is>
          <t>Compare fixed, recursive, semantic chunking on a 200-page PDF; measure retrieval quality</t>
        </is>
      </c>
      <c r="G48" s="17" t="inlineStr">
        <is>
          <t>Code</t>
        </is>
      </c>
      <c r="H48" s="17" t="inlineStr">
        <is>
          <t>LangChain text splitters</t>
        </is>
      </c>
      <c r="I48" s="19" t="n">
        <v>6</v>
      </c>
      <c r="J48" s="19" t="n">
        <v>0</v>
      </c>
      <c r="K48" s="17" t="inlineStr">
        <is>
          <t>Not Started</t>
        </is>
      </c>
      <c r="L48" s="17" t="inlineStr"/>
    </row>
    <row r="49" ht="30" customHeight="1">
      <c r="A49" s="13" t="n">
        <v>45</v>
      </c>
      <c r="B49" s="13" t="n">
        <v>7</v>
      </c>
      <c r="C49" s="22" t="n"/>
      <c r="D49" s="13" t="inlineStr">
        <is>
          <t>RAG &amp; Vector DBs</t>
        </is>
      </c>
      <c r="E49" s="13" t="inlineStr">
        <is>
          <t>Vector DBs</t>
        </is>
      </c>
      <c r="F49" s="13" t="inlineStr">
        <is>
          <t>Spin up Chroma, Qdrant, pgvector; benchmark ingest + query on 100k docs</t>
        </is>
      </c>
      <c r="G49" s="13" t="inlineStr">
        <is>
          <t>Code</t>
        </is>
      </c>
      <c r="H49" s="13" t="inlineStr">
        <is>
          <t>docs.trychroma.com / qdrant.tech</t>
        </is>
      </c>
      <c r="I49" s="15" t="n">
        <v>7</v>
      </c>
      <c r="J49" s="15" t="n">
        <v>0</v>
      </c>
      <c r="K49" s="13" t="inlineStr">
        <is>
          <t>Not Started</t>
        </is>
      </c>
      <c r="L49" s="13" t="inlineStr"/>
    </row>
    <row r="50" ht="30" customHeight="1">
      <c r="A50" s="17" t="n">
        <v>46</v>
      </c>
      <c r="B50" s="17" t="n">
        <v>7</v>
      </c>
      <c r="C50" s="23" t="n"/>
      <c r="D50" s="17" t="inlineStr">
        <is>
          <t>RAG &amp; Vector DBs</t>
        </is>
      </c>
      <c r="E50" s="17" t="inlineStr">
        <is>
          <t>Hybrid Search</t>
        </is>
      </c>
      <c r="F50" s="17" t="inlineStr">
        <is>
          <t>Combine BM25 (rank_bm25) + dense retrieval; implement Reciprocal Rank Fusion</t>
        </is>
      </c>
      <c r="G50" s="17" t="inlineStr">
        <is>
          <t>Code</t>
        </is>
      </c>
      <c r="H50" s="17" t="inlineStr">
        <is>
          <t>Pinecone hybrid blog</t>
        </is>
      </c>
      <c r="I50" s="19" t="n">
        <v>6</v>
      </c>
      <c r="J50" s="19" t="n">
        <v>0</v>
      </c>
      <c r="K50" s="17" t="inlineStr">
        <is>
          <t>Not Started</t>
        </is>
      </c>
      <c r="L50" s="17" t="inlineStr"/>
    </row>
    <row r="51" ht="30" customHeight="1">
      <c r="A51" s="13" t="n">
        <v>47</v>
      </c>
      <c r="B51" s="13" t="n">
        <v>7</v>
      </c>
      <c r="C51" s="22" t="n"/>
      <c r="D51" s="13" t="inlineStr">
        <is>
          <t>RAG &amp; Vector DBs</t>
        </is>
      </c>
      <c r="E51" s="13" t="inlineStr">
        <is>
          <t>Prompt Engineering</t>
        </is>
      </c>
      <c r="F51" s="13" t="inlineStr">
        <is>
          <t>Read Lilian Weng prompt engineering post; build prompt library (system, few-shot, CoT, ReAct)</t>
        </is>
      </c>
      <c r="G51" s="13" t="inlineStr">
        <is>
          <t>Reading</t>
        </is>
      </c>
      <c r="H51" s="13" t="inlineStr">
        <is>
          <t>https://lilianweng.github.io</t>
        </is>
      </c>
      <c r="I51" s="15" t="n">
        <v>6</v>
      </c>
      <c r="J51" s="15" t="n">
        <v>0</v>
      </c>
      <c r="K51" s="13" t="inlineStr">
        <is>
          <t>Not Started</t>
        </is>
      </c>
      <c r="L51" s="13" t="inlineStr"/>
    </row>
    <row r="52" ht="30" customHeight="1">
      <c r="A52" s="17" t="n">
        <v>48</v>
      </c>
      <c r="B52" s="17" t="n">
        <v>7</v>
      </c>
      <c r="C52" s="23" t="n"/>
      <c r="D52" s="17" t="inlineStr">
        <is>
          <t>RAG &amp; Vector DBs</t>
        </is>
      </c>
      <c r="E52" s="17" t="inlineStr">
        <is>
          <t>RAG Evaluation</t>
        </is>
      </c>
      <c r="F52" s="17" t="inlineStr">
        <is>
          <t>Use RAGAS + custom LLM-as-judge; measure faithfulness, relevance, recall</t>
        </is>
      </c>
      <c r="G52" s="17" t="inlineStr">
        <is>
          <t>Code</t>
        </is>
      </c>
      <c r="H52" s="17" t="inlineStr">
        <is>
          <t>ragas.io</t>
        </is>
      </c>
      <c r="I52" s="19" t="n">
        <v>6</v>
      </c>
      <c r="J52" s="19" t="n">
        <v>0</v>
      </c>
      <c r="K52" s="17" t="inlineStr">
        <is>
          <t>Not Started</t>
        </is>
      </c>
      <c r="L52" s="17" t="inlineStr"/>
    </row>
    <row r="53" ht="30" customHeight="1">
      <c r="A53" s="13" t="n">
        <v>49</v>
      </c>
      <c r="B53" s="13" t="n">
        <v>7</v>
      </c>
      <c r="C53" s="22" t="n"/>
      <c r="D53" s="13" t="inlineStr">
        <is>
          <t>RAG &amp; Vector DBs</t>
        </is>
      </c>
      <c r="E53" s="13" t="inlineStr">
        <is>
          <t>Doc Chatbot</t>
        </is>
      </c>
      <c r="F53" s="13" t="inlineStr">
        <is>
          <t>Build Documentation Chatbot: ingest pipeline + Chroma + reranker + Streamlit UI; deploy</t>
        </is>
      </c>
      <c r="G53" s="13" t="inlineStr">
        <is>
          <t>Project</t>
        </is>
      </c>
      <c r="H53" s="13" t="inlineStr">
        <is>
          <t>Week 7 deliverable</t>
        </is>
      </c>
      <c r="I53" s="15" t="n">
        <v>8</v>
      </c>
      <c r="J53" s="15" t="n">
        <v>0</v>
      </c>
      <c r="K53" s="13" t="inlineStr">
        <is>
          <t>Not Started</t>
        </is>
      </c>
      <c r="L53" s="13" t="inlineStr"/>
    </row>
    <row r="54" ht="30" customHeight="1">
      <c r="A54" s="17" t="n">
        <v>50</v>
      </c>
      <c r="B54" s="17" t="n">
        <v>8</v>
      </c>
      <c r="C54" s="23" t="n"/>
      <c r="D54" s="17" t="inlineStr">
        <is>
          <t>AI Agents</t>
        </is>
      </c>
      <c r="E54" s="17" t="inlineStr">
        <is>
          <t>LangChain Core</t>
        </is>
      </c>
      <c r="F54" s="17" t="inlineStr">
        <is>
          <t>LangChain docs: LCEL, runnables, chains, memory; rebuild RAG with LCEL</t>
        </is>
      </c>
      <c r="G54" s="17" t="inlineStr">
        <is>
          <t>Reading</t>
        </is>
      </c>
      <c r="H54" s="17" t="inlineStr">
        <is>
          <t>python.langchain.com</t>
        </is>
      </c>
      <c r="I54" s="19" t="n">
        <v>6</v>
      </c>
      <c r="J54" s="19" t="n">
        <v>0</v>
      </c>
      <c r="K54" s="17" t="inlineStr">
        <is>
          <t>Not Started</t>
        </is>
      </c>
      <c r="L54" s="17" t="inlineStr"/>
    </row>
    <row r="55" ht="30" customHeight="1">
      <c r="A55" s="13" t="n">
        <v>51</v>
      </c>
      <c r="B55" s="13" t="n">
        <v>8</v>
      </c>
      <c r="C55" s="22" t="n"/>
      <c r="D55" s="13" t="inlineStr">
        <is>
          <t>AI Agents</t>
        </is>
      </c>
      <c r="E55" s="13" t="inlineStr">
        <is>
          <t>Tool Use</t>
        </is>
      </c>
      <c r="F55" s="13" t="inlineStr">
        <is>
          <t>Implement function-calling agent with 5 tools (web, math, files, sql, code); add tool errors handling</t>
        </is>
      </c>
      <c r="G55" s="13" t="inlineStr">
        <is>
          <t>Code</t>
        </is>
      </c>
      <c r="H55" s="13" t="inlineStr">
        <is>
          <t>OpenAI tool calling docs</t>
        </is>
      </c>
      <c r="I55" s="15" t="n">
        <v>7</v>
      </c>
      <c r="J55" s="15" t="n">
        <v>0</v>
      </c>
      <c r="K55" s="13" t="inlineStr">
        <is>
          <t>Not Started</t>
        </is>
      </c>
      <c r="L55" s="13" t="inlineStr"/>
    </row>
    <row r="56" ht="30" customHeight="1">
      <c r="A56" s="17" t="n">
        <v>52</v>
      </c>
      <c r="B56" s="17" t="n">
        <v>8</v>
      </c>
      <c r="C56" s="23" t="n"/>
      <c r="D56" s="17" t="inlineStr">
        <is>
          <t>AI Agents</t>
        </is>
      </c>
      <c r="E56" s="17" t="inlineStr">
        <is>
          <t>LangGraph Basics</t>
        </is>
      </c>
      <c r="F56" s="17" t="inlineStr">
        <is>
          <t>LangGraph tutorial: nodes, edges, state; build a research agent with cycles</t>
        </is>
      </c>
      <c r="G56" s="17" t="inlineStr">
        <is>
          <t>Code</t>
        </is>
      </c>
      <c r="H56" s="17" t="inlineStr">
        <is>
          <t>langchain-ai.github.io/langgraph</t>
        </is>
      </c>
      <c r="I56" s="19" t="n">
        <v>7</v>
      </c>
      <c r="J56" s="19" t="n">
        <v>0</v>
      </c>
      <c r="K56" s="17" t="inlineStr">
        <is>
          <t>Not Started</t>
        </is>
      </c>
      <c r="L56" s="17" t="inlineStr"/>
    </row>
    <row r="57" ht="30" customHeight="1">
      <c r="A57" s="13" t="n">
        <v>53</v>
      </c>
      <c r="B57" s="13" t="n">
        <v>8</v>
      </c>
      <c r="C57" s="22" t="n"/>
      <c r="D57" s="13" t="inlineStr">
        <is>
          <t>AI Agents</t>
        </is>
      </c>
      <c r="E57" s="13" t="inlineStr">
        <is>
          <t>ReAct vs Plan-Execute</t>
        </is>
      </c>
      <c r="F57" s="13" t="inlineStr">
        <is>
          <t>Implement both; benchmark on a 20-task suite; document tradeoffs</t>
        </is>
      </c>
      <c r="G57" s="13" t="inlineStr">
        <is>
          <t>Code</t>
        </is>
      </c>
      <c r="H57" s="13" t="inlineStr">
        <is>
          <t>arxiv.org/abs/2210.03629</t>
        </is>
      </c>
      <c r="I57" s="15" t="n">
        <v>6</v>
      </c>
      <c r="J57" s="15" t="n">
        <v>0</v>
      </c>
      <c r="K57" s="13" t="inlineStr">
        <is>
          <t>Not Started</t>
        </is>
      </c>
      <c r="L57" s="13" t="inlineStr"/>
    </row>
    <row r="58" ht="30" customHeight="1">
      <c r="A58" s="17" t="n">
        <v>54</v>
      </c>
      <c r="B58" s="17" t="n">
        <v>8</v>
      </c>
      <c r="C58" s="23" t="n"/>
      <c r="D58" s="17" t="inlineStr">
        <is>
          <t>AI Agents</t>
        </is>
      </c>
      <c r="E58" s="17" t="inlineStr">
        <is>
          <t>Memory &amp; State</t>
        </is>
      </c>
      <c r="F58" s="17" t="inlineStr">
        <is>
          <t>Long-term memory with vector store; conversation summary memory; thread persistence</t>
        </is>
      </c>
      <c r="G58" s="17" t="inlineStr">
        <is>
          <t>Code</t>
        </is>
      </c>
      <c r="H58" s="17" t="inlineStr">
        <is>
          <t>LangGraph checkpointers</t>
        </is>
      </c>
      <c r="I58" s="19" t="n">
        <v>6</v>
      </c>
      <c r="J58" s="19" t="n">
        <v>0</v>
      </c>
      <c r="K58" s="17" t="inlineStr">
        <is>
          <t>Not Started</t>
        </is>
      </c>
      <c r="L58" s="17" t="inlineStr"/>
    </row>
    <row r="59" ht="30" customHeight="1">
      <c r="A59" s="13" t="n">
        <v>55</v>
      </c>
      <c r="B59" s="13" t="n">
        <v>8</v>
      </c>
      <c r="C59" s="22" t="n"/>
      <c r="D59" s="13" t="inlineStr">
        <is>
          <t>AI Agents</t>
        </is>
      </c>
      <c r="E59" s="13" t="inlineStr">
        <is>
          <t>MCP Protocol</t>
        </is>
      </c>
      <c r="F59" s="13" t="inlineStr">
        <is>
          <t>Read MCP spec; expose 3 tools via a local MCP server and connect from Claude Desktop</t>
        </is>
      </c>
      <c r="G59" s="13" t="inlineStr">
        <is>
          <t>Study</t>
        </is>
      </c>
      <c r="H59" s="13" t="inlineStr">
        <is>
          <t>modelcontextprotocol.io</t>
        </is>
      </c>
      <c r="I59" s="15" t="n">
        <v>5</v>
      </c>
      <c r="J59" s="15" t="n">
        <v>0</v>
      </c>
      <c r="K59" s="13" t="inlineStr">
        <is>
          <t>Not Started</t>
        </is>
      </c>
      <c r="L59" s="13" t="inlineStr"/>
    </row>
    <row r="60" ht="30" customHeight="1">
      <c r="A60" s="17" t="n">
        <v>56</v>
      </c>
      <c r="B60" s="17" t="n">
        <v>8</v>
      </c>
      <c r="C60" s="23" t="n"/>
      <c r="D60" s="17" t="inlineStr">
        <is>
          <t>AI Agents</t>
        </is>
      </c>
      <c r="E60" s="17" t="inlineStr">
        <is>
          <t>Multi-Agent Project</t>
        </is>
      </c>
      <c r="F60" s="17" t="inlineStr">
        <is>
          <t>Build Multi-Agent Research Assistant (planner + researcher + writer) on LangGraph + Tavily</t>
        </is>
      </c>
      <c r="G60" s="17" t="inlineStr">
        <is>
          <t>Project</t>
        </is>
      </c>
      <c r="H60" s="17" t="inlineStr">
        <is>
          <t>Week 8 deliverable</t>
        </is>
      </c>
      <c r="I60" s="19" t="n">
        <v>8</v>
      </c>
      <c r="J60" s="19" t="n">
        <v>0</v>
      </c>
      <c r="K60" s="17" t="inlineStr">
        <is>
          <t>Not Started</t>
        </is>
      </c>
      <c r="L60" s="17" t="inlineStr"/>
    </row>
    <row r="61" ht="30" customHeight="1">
      <c r="A61" s="13" t="n">
        <v>57</v>
      </c>
      <c r="B61" s="13" t="n">
        <v>9</v>
      </c>
      <c r="C61" s="22" t="n"/>
      <c r="D61" s="13" t="inlineStr">
        <is>
          <t>System Design &amp; Production AI</t>
        </is>
      </c>
      <c r="E61" s="13" t="inlineStr">
        <is>
          <t>SD Fundamentals</t>
        </is>
      </c>
      <c r="F61" s="13" t="inlineStr">
        <is>
          <t>Alex Xu Vol.1 ch.1-5: scaling, caching, sharding, message queues</t>
        </is>
      </c>
      <c r="G61" s="13" t="inlineStr">
        <is>
          <t>Reading</t>
        </is>
      </c>
      <c r="H61" s="13" t="inlineStr">
        <is>
          <t>System Design Interview — Alex Xu</t>
        </is>
      </c>
      <c r="I61" s="15" t="n">
        <v>6</v>
      </c>
      <c r="J61" s="15" t="n">
        <v>0</v>
      </c>
      <c r="K61" s="13" t="inlineStr">
        <is>
          <t>Not Started</t>
        </is>
      </c>
      <c r="L61" s="13" t="inlineStr"/>
    </row>
    <row r="62" ht="30" customHeight="1">
      <c r="A62" s="17" t="n">
        <v>58</v>
      </c>
      <c r="B62" s="17" t="n">
        <v>9</v>
      </c>
      <c r="C62" s="23" t="n"/>
      <c r="D62" s="17" t="inlineStr">
        <is>
          <t>System Design &amp; Production AI</t>
        </is>
      </c>
      <c r="E62" s="17" t="inlineStr">
        <is>
          <t>Caching Patterns</t>
        </is>
      </c>
      <c r="F62" s="17" t="inlineStr">
        <is>
          <t>Redis: cache-aside, write-through, TTL; implement semantic cache for LLM responses</t>
        </is>
      </c>
      <c r="G62" s="17" t="inlineStr">
        <is>
          <t>Code</t>
        </is>
      </c>
      <c r="H62" s="17" t="inlineStr">
        <is>
          <t>redis.io/docs</t>
        </is>
      </c>
      <c r="I62" s="19" t="n">
        <v>6</v>
      </c>
      <c r="J62" s="19" t="n">
        <v>0</v>
      </c>
      <c r="K62" s="17" t="inlineStr">
        <is>
          <t>Not Started</t>
        </is>
      </c>
      <c r="L62" s="17" t="inlineStr"/>
    </row>
    <row r="63" ht="30" customHeight="1">
      <c r="A63" s="13" t="n">
        <v>59</v>
      </c>
      <c r="B63" s="13" t="n">
        <v>9</v>
      </c>
      <c r="C63" s="22" t="n"/>
      <c r="D63" s="13" t="inlineStr">
        <is>
          <t>System Design &amp; Production AI</t>
        </is>
      </c>
      <c r="E63" s="13" t="inlineStr">
        <is>
          <t>Queues</t>
        </is>
      </c>
      <c r="F63" s="13" t="inlineStr">
        <is>
          <t>Kafka or SQS basics; build async LLM job queue with retries + DLQ</t>
        </is>
      </c>
      <c r="G63" s="13" t="inlineStr">
        <is>
          <t>Code</t>
        </is>
      </c>
      <c r="H63" s="13" t="inlineStr">
        <is>
          <t>kafka.apache.org / AWS SQS</t>
        </is>
      </c>
      <c r="I63" s="15" t="n">
        <v>6</v>
      </c>
      <c r="J63" s="15" t="n">
        <v>0</v>
      </c>
      <c r="K63" s="13" t="inlineStr">
        <is>
          <t>Not Started</t>
        </is>
      </c>
      <c r="L63" s="13" t="inlineStr"/>
    </row>
    <row r="64" ht="30" customHeight="1">
      <c r="A64" s="17" t="n">
        <v>60</v>
      </c>
      <c r="B64" s="17" t="n">
        <v>9</v>
      </c>
      <c r="C64" s="23" t="n"/>
      <c r="D64" s="17" t="inlineStr">
        <is>
          <t>System Design &amp; Production AI</t>
        </is>
      </c>
      <c r="E64" s="17" t="inlineStr">
        <is>
          <t>LLM Serving</t>
        </is>
      </c>
      <c r="F64" s="17" t="inlineStr">
        <is>
          <t>vLLM + TGI: continuous batching, paged attention; benchmark throughput vs naive HF</t>
        </is>
      </c>
      <c r="G64" s="17" t="inlineStr">
        <is>
          <t>Code</t>
        </is>
      </c>
      <c r="H64" s="17" t="inlineStr">
        <is>
          <t>github.com/vllm-project/vllm</t>
        </is>
      </c>
      <c r="I64" s="19" t="n">
        <v>7</v>
      </c>
      <c r="J64" s="19" t="n">
        <v>0</v>
      </c>
      <c r="K64" s="17" t="inlineStr">
        <is>
          <t>Not Started</t>
        </is>
      </c>
      <c r="L64" s="17" t="inlineStr"/>
    </row>
    <row r="65" ht="30" customHeight="1">
      <c r="A65" s="13" t="n">
        <v>61</v>
      </c>
      <c r="B65" s="13" t="n">
        <v>9</v>
      </c>
      <c r="C65" s="22" t="n"/>
      <c r="D65" s="13" t="inlineStr">
        <is>
          <t>System Design &amp; Production AI</t>
        </is>
      </c>
      <c r="E65" s="13" t="inlineStr">
        <is>
          <t>Observability</t>
        </is>
      </c>
      <c r="F65" s="13" t="inlineStr">
        <is>
          <t>Add Prometheus metrics + Grafana dashboards + structured logs + traces (OpenTelemetry)</t>
        </is>
      </c>
      <c r="G65" s="13" t="inlineStr">
        <is>
          <t>Code</t>
        </is>
      </c>
      <c r="H65" s="13" t="inlineStr">
        <is>
          <t>opentelemetry.io</t>
        </is>
      </c>
      <c r="I65" s="15" t="n">
        <v>6</v>
      </c>
      <c r="J65" s="15" t="n">
        <v>0</v>
      </c>
      <c r="K65" s="13" t="inlineStr">
        <is>
          <t>Not Started</t>
        </is>
      </c>
      <c r="L65" s="13" t="inlineStr"/>
    </row>
    <row r="66" ht="30" customHeight="1">
      <c r="A66" s="17" t="n">
        <v>62</v>
      </c>
      <c r="B66" s="17" t="n">
        <v>9</v>
      </c>
      <c r="C66" s="23" t="n"/>
      <c r="D66" s="17" t="inlineStr">
        <is>
          <t>System Design &amp; Production AI</t>
        </is>
      </c>
      <c r="E66" s="17" t="inlineStr">
        <is>
          <t>Cost &amp; Latency</t>
        </is>
      </c>
      <c r="F66" s="17" t="inlineStr">
        <is>
          <t>Profile a RAG app: token cost, p50/p95 latency; cut cost 40% with caching + smaller models</t>
        </is>
      </c>
      <c r="G66" s="17" t="inlineStr">
        <is>
          <t>Practice</t>
        </is>
      </c>
      <c r="H66" s="17" t="inlineStr">
        <is>
          <t>Internal exercise</t>
        </is>
      </c>
      <c r="I66" s="19" t="n">
        <v>5</v>
      </c>
      <c r="J66" s="19" t="n">
        <v>0</v>
      </c>
      <c r="K66" s="17" t="inlineStr">
        <is>
          <t>Not Started</t>
        </is>
      </c>
      <c r="L66" s="17" t="inlineStr"/>
    </row>
    <row r="67" ht="30" customHeight="1">
      <c r="A67" s="13" t="n">
        <v>63</v>
      </c>
      <c r="B67" s="13" t="n">
        <v>9</v>
      </c>
      <c r="C67" s="22" t="n"/>
      <c r="D67" s="13" t="inlineStr">
        <is>
          <t>System Design &amp; Production AI</t>
        </is>
      </c>
      <c r="E67" s="13" t="inlineStr">
        <is>
          <t>LLM Gateway Project</t>
        </is>
      </c>
      <c r="F67" s="13" t="inlineStr">
        <is>
          <t>Build LLM Gateway: rate limit, semantic cache, model routing, metrics; deploy</t>
        </is>
      </c>
      <c r="G67" s="13" t="inlineStr">
        <is>
          <t>Project</t>
        </is>
      </c>
      <c r="H67" s="13" t="inlineStr">
        <is>
          <t>Week 9 deliverable</t>
        </is>
      </c>
      <c r="I67" s="15" t="n">
        <v>8</v>
      </c>
      <c r="J67" s="15" t="n">
        <v>0</v>
      </c>
      <c r="K67" s="13" t="inlineStr">
        <is>
          <t>Not Started</t>
        </is>
      </c>
      <c r="L67" s="13" t="inlineStr"/>
    </row>
    <row r="68" ht="30" customHeight="1">
      <c r="A68" s="17" t="n">
        <v>64</v>
      </c>
      <c r="B68" s="17" t="n">
        <v>10</v>
      </c>
      <c r="C68" s="23" t="n"/>
      <c r="D68" s="17" t="inlineStr">
        <is>
          <t>Capstone &amp; Interviews</t>
        </is>
      </c>
      <c r="E68" s="17" t="inlineStr">
        <is>
          <t>Capstone Scope</t>
        </is>
      </c>
      <c r="F68" s="17" t="inlineStr">
        <is>
          <t>Scope &amp; design Capstone (AI SaaS): user stories, architecture diagram, DB schema, API plan</t>
        </is>
      </c>
      <c r="G68" s="17" t="inlineStr">
        <is>
          <t>Project</t>
        </is>
      </c>
      <c r="H68" s="17" t="inlineStr">
        <is>
          <t>Design doc in Notion</t>
        </is>
      </c>
      <c r="I68" s="19" t="n">
        <v>6</v>
      </c>
      <c r="J68" s="19" t="n">
        <v>0</v>
      </c>
      <c r="K68" s="17" t="inlineStr">
        <is>
          <t>Not Started</t>
        </is>
      </c>
      <c r="L68" s="17" t="inlineStr"/>
    </row>
    <row r="69" ht="30" customHeight="1">
      <c r="A69" s="13" t="n">
        <v>65</v>
      </c>
      <c r="B69" s="13" t="n">
        <v>10</v>
      </c>
      <c r="C69" s="22" t="n"/>
      <c r="D69" s="13" t="inlineStr">
        <is>
          <t>Capstone &amp; Interviews</t>
        </is>
      </c>
      <c r="E69" s="13" t="inlineStr">
        <is>
          <t>Capstone Build 1</t>
        </is>
      </c>
      <c r="F69" s="13" t="inlineStr">
        <is>
          <t>Build backend: FastAPI + Postgres + pgvector + auth + Stripe-mock + RAG pipeline</t>
        </is>
      </c>
      <c r="G69" s="13" t="inlineStr">
        <is>
          <t>Project</t>
        </is>
      </c>
      <c r="H69" s="13" t="inlineStr">
        <is>
          <t>Capstone repo</t>
        </is>
      </c>
      <c r="I69" s="15" t="n">
        <v>8</v>
      </c>
      <c r="J69" s="15" t="n">
        <v>0</v>
      </c>
      <c r="K69" s="13" t="inlineStr">
        <is>
          <t>Not Started</t>
        </is>
      </c>
      <c r="L69" s="13" t="inlineStr"/>
    </row>
    <row r="70" ht="30" customHeight="1">
      <c r="A70" s="17" t="n">
        <v>66</v>
      </c>
      <c r="B70" s="17" t="n">
        <v>10</v>
      </c>
      <c r="C70" s="23" t="n"/>
      <c r="D70" s="17" t="inlineStr">
        <is>
          <t>Capstone &amp; Interviews</t>
        </is>
      </c>
      <c r="E70" s="17" t="inlineStr">
        <is>
          <t>Capstone Build 2</t>
        </is>
      </c>
      <c r="F70" s="17" t="inlineStr">
        <is>
          <t>Build frontend: Next.js app with chat UI, dashboards, billing page; deploy to Vercel + AWS</t>
        </is>
      </c>
      <c r="G70" s="17" t="inlineStr">
        <is>
          <t>Project</t>
        </is>
      </c>
      <c r="H70" s="17" t="inlineStr">
        <is>
          <t>Capstone repo</t>
        </is>
      </c>
      <c r="I70" s="19" t="n">
        <v>8</v>
      </c>
      <c r="J70" s="19" t="n">
        <v>0</v>
      </c>
      <c r="K70" s="17" t="inlineStr">
        <is>
          <t>Not Started</t>
        </is>
      </c>
      <c r="L70" s="17" t="inlineStr"/>
    </row>
    <row r="71" ht="30" customHeight="1">
      <c r="A71" s="13" t="n">
        <v>67</v>
      </c>
      <c r="B71" s="13" t="n">
        <v>10</v>
      </c>
      <c r="C71" s="22" t="n"/>
      <c r="D71" s="13" t="inlineStr">
        <is>
          <t>Capstone &amp; Interviews</t>
        </is>
      </c>
      <c r="E71" s="13" t="inlineStr">
        <is>
          <t>Portfolio Site</t>
        </is>
      </c>
      <c r="F71" s="13" t="inlineStr">
        <is>
          <t>Build portfolio site (Next.js): projects, blog, resume; write 2 deep-dive blog posts</t>
        </is>
      </c>
      <c r="G71" s="13" t="inlineStr">
        <is>
          <t>Project</t>
        </is>
      </c>
      <c r="H71" s="13" t="inlineStr">
        <is>
          <t>Personal site live</t>
        </is>
      </c>
      <c r="I71" s="15" t="n">
        <v>5</v>
      </c>
      <c r="J71" s="15" t="n">
        <v>0</v>
      </c>
      <c r="K71" s="13" t="inlineStr">
        <is>
          <t>Not Started</t>
        </is>
      </c>
      <c r="L71" s="13" t="inlineStr"/>
    </row>
    <row r="72" ht="30" customHeight="1">
      <c r="A72" s="17" t="n">
        <v>68</v>
      </c>
      <c r="B72" s="17" t="n">
        <v>10</v>
      </c>
      <c r="C72" s="23" t="n"/>
      <c r="D72" s="17" t="inlineStr">
        <is>
          <t>Capstone &amp; Interviews</t>
        </is>
      </c>
      <c r="E72" s="17" t="inlineStr">
        <is>
          <t>Resume + LinkedIn</t>
        </is>
      </c>
      <c r="F72" s="17" t="inlineStr">
        <is>
          <t>Tailor resume + LinkedIn for AI SE roles; quantify every bullet; get 3 peer reviews</t>
        </is>
      </c>
      <c r="G72" s="17" t="inlineStr">
        <is>
          <t>Practice</t>
        </is>
      </c>
      <c r="H72" s="17" t="inlineStr">
        <is>
          <t>Levels.fyi resume guide</t>
        </is>
      </c>
      <c r="I72" s="19" t="n">
        <v>4</v>
      </c>
      <c r="J72" s="19" t="n">
        <v>0</v>
      </c>
      <c r="K72" s="17" t="inlineStr">
        <is>
          <t>Not Started</t>
        </is>
      </c>
      <c r="L72" s="17" t="inlineStr"/>
    </row>
    <row r="73" ht="30" customHeight="1">
      <c r="A73" s="13" t="n">
        <v>69</v>
      </c>
      <c r="B73" s="13" t="n">
        <v>10</v>
      </c>
      <c r="C73" s="22" t="n"/>
      <c r="D73" s="13" t="inlineStr">
        <is>
          <t>Capstone &amp; Interviews</t>
        </is>
      </c>
      <c r="E73" s="13" t="inlineStr">
        <is>
          <t>Mock Interviews</t>
        </is>
      </c>
      <c r="F73" s="13" t="inlineStr">
        <is>
          <t>Do 5 mock interviews (2 coding, 2 system design, 1 behavioral) on Pramp / interviewing.io</t>
        </is>
      </c>
      <c r="G73" s="13" t="inlineStr">
        <is>
          <t>Interview Prep</t>
        </is>
      </c>
      <c r="H73" s="13" t="inlineStr">
        <is>
          <t>interviewing.io</t>
        </is>
      </c>
      <c r="I73" s="15" t="n">
        <v>5</v>
      </c>
      <c r="J73" s="15" t="n">
        <v>0</v>
      </c>
      <c r="K73" s="13" t="inlineStr">
        <is>
          <t>Not Started</t>
        </is>
      </c>
      <c r="L73" s="13" t="inlineStr"/>
    </row>
    <row r="74" ht="30" customHeight="1">
      <c r="A74" s="17" t="n">
        <v>70</v>
      </c>
      <c r="B74" s="17" t="n">
        <v>10</v>
      </c>
      <c r="C74" s="23" t="n"/>
      <c r="D74" s="17" t="inlineStr">
        <is>
          <t>Capstone &amp; Interviews</t>
        </is>
      </c>
      <c r="E74" s="17" t="inlineStr">
        <is>
          <t>Behavioral Prep</t>
        </is>
      </c>
      <c r="F74" s="17" t="inlineStr">
        <is>
          <t>Prep 12 STAR stories covering leadership, conflict, failure, ambiguity, AI ethics; record yourself</t>
        </is>
      </c>
      <c r="G74" s="17" t="inlineStr">
        <is>
          <t>Interview Prep</t>
        </is>
      </c>
      <c r="H74" s="17" t="inlineStr">
        <is>
          <t>STAR method</t>
        </is>
      </c>
      <c r="I74" s="19" t="n">
        <v>4</v>
      </c>
      <c r="J74" s="19" t="n">
        <v>0</v>
      </c>
      <c r="K74" s="17" t="inlineStr">
        <is>
          <t>Not Started</t>
        </is>
      </c>
      <c r="L74" s="17" t="inlineStr"/>
    </row>
  </sheetData>
  <autoFilter ref="A4:L74"/>
  <mergeCells count="2">
    <mergeCell ref="A2:L2"/>
    <mergeCell ref="A1:L1"/>
  </mergeCells>
  <conditionalFormatting sqref="K5:K74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2">
      <formula>"Done"</formula>
    </cfRule>
    <cfRule type="cellIs" priority="5" operator="equal" dxfId="3">
      <formula>"Blocked"</formula>
    </cfRule>
    <cfRule type="cellIs" priority="6" operator="equal" dxfId="4">
      <formula>"Skipped"</formula>
    </cfRule>
  </conditionalFormatting>
  <dataValidations count="2">
    <dataValidation sqref="K5:K74" showDropDown="0" showInputMessage="0" showErrorMessage="0" allowBlank="1" type="list">
      <formula1>"Not Started,In Progress,Complete,Blocked,Skipped"</formula1>
    </dataValidation>
    <dataValidation sqref="G5:G74" showDropDown="0" showInputMessage="0" showErrorMessage="0" allowBlank="1" type="list">
      <formula1>"Study,Code,Project,Practice,Revision,Interview Prep,Reading,Video"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7" customWidth="1" min="3" max="3"/>
    <col width="14" customWidth="1" min="4" max="4"/>
    <col width="42" customWidth="1" min="5" max="5"/>
    <col width="10" customWidth="1" min="6" max="6"/>
    <col width="11" customWidth="1" min="7" max="7"/>
    <col width="12" customWidth="1" min="8" max="8"/>
    <col width="13" customWidth="1" min="9" max="9"/>
    <col width="12" customWidth="1" min="10" max="10"/>
    <col width="38" customWidth="1" min="11" max="11"/>
    <col width="32" customWidth="1" min="12" max="12"/>
    <col width="55" customWidth="1" min="13" max="13"/>
    <col width="45" customWidth="1" min="14" max="14"/>
    <col width="70" customWidth="1" min="15" max="15"/>
  </cols>
  <sheetData>
    <row r="1" ht="36" customHeight="1">
      <c r="A1" s="1" t="inlineStr">
        <is>
          <t>Projects Tracker</t>
        </is>
      </c>
    </row>
    <row r="2" ht="20" customHeight="1">
      <c r="A2" s="2" t="inlineStr">
        <is>
          <t>10 progressively harder projects — from CLI to production Multi-Agent AI SaaS</t>
        </is>
      </c>
    </row>
    <row r="4" ht="32" customHeight="1">
      <c r="A4" s="12" t="inlineStr">
        <is>
          <t>#</t>
        </is>
      </c>
      <c r="B4" s="12" t="inlineStr">
        <is>
          <t>Project Name</t>
        </is>
      </c>
      <c r="C4" s="12" t="inlineStr">
        <is>
          <t>Week</t>
        </is>
      </c>
      <c r="D4" s="12" t="inlineStr">
        <is>
          <t>Level</t>
        </is>
      </c>
      <c r="E4" s="12" t="inlineStr">
        <is>
          <t>Tech Stack</t>
        </is>
      </c>
      <c r="F4" s="12" t="inlineStr">
        <is>
          <t>Difficulty</t>
        </is>
      </c>
      <c r="G4" s="12" t="inlineStr">
        <is>
          <t>Est. Hours</t>
        </is>
      </c>
      <c r="H4" s="12" t="inlineStr">
        <is>
          <t>Hours Logged</t>
        </is>
      </c>
      <c r="I4" s="12" t="inlineStr">
        <is>
          <t>Status</t>
        </is>
      </c>
      <c r="J4" s="12" t="inlineStr">
        <is>
          <t>Progress %</t>
        </is>
      </c>
      <c r="K4" s="12" t="inlineStr">
        <is>
          <t>Repo Link</t>
        </is>
      </c>
      <c r="L4" s="12" t="inlineStr">
        <is>
          <t>Demo Link</t>
        </is>
      </c>
      <c r="M4" s="12" t="inlineStr">
        <is>
          <t>Key Features</t>
        </is>
      </c>
      <c r="N4" s="12" t="inlineStr">
        <is>
          <t>Skills Gained</t>
        </is>
      </c>
      <c r="O4" s="12" t="inlineStr">
        <is>
          <t>Resume Bullet</t>
        </is>
      </c>
    </row>
    <row r="5" ht="30" customHeight="1">
      <c r="A5" s="13" t="n">
        <v>1</v>
      </c>
      <c r="B5" s="13" t="inlineStr">
        <is>
          <t>Personal Finance Tracker (CLI)</t>
        </is>
      </c>
      <c r="C5" s="13" t="n">
        <v>1</v>
      </c>
      <c r="D5" s="13" t="inlineStr">
        <is>
          <t>Beginner</t>
        </is>
      </c>
      <c r="E5" s="13" t="inlineStr">
        <is>
          <t>Python · JSON</t>
        </is>
      </c>
      <c r="F5" s="13" t="n">
        <v>1</v>
      </c>
      <c r="G5" s="16" t="n">
        <v>5</v>
      </c>
      <c r="H5" s="15" t="n">
        <v>0</v>
      </c>
      <c r="I5" s="13" t="inlineStr">
        <is>
          <t>Not Started</t>
        </is>
      </c>
      <c r="J5" s="14" t="n">
        <v>0</v>
      </c>
      <c r="K5" s="13" t="inlineStr">
        <is>
          <t>github.com/yourname/cli-finance-tracker</t>
        </is>
      </c>
      <c r="L5" s="13" t="inlineStr">
        <is>
          <t>—</t>
        </is>
      </c>
      <c r="M5" s="13" t="inlineStr">
        <is>
          <t>OOP design classes (Transaction, Account), balance calculation, categories, local JSON read/write persistence, CSV export.</t>
        </is>
      </c>
      <c r="N5" s="13" t="inlineStr">
        <is>
          <t>Python classes inheritance, file system serialization, CLI menu event loop, CSV formatting.</t>
        </is>
      </c>
      <c r="O5" s="13" t="inlineStr">
        <is>
          <t>Built and shipped a command-line financial accountant tool in Python with JSON persistence and clean CSV export modules.</t>
        </is>
      </c>
    </row>
    <row r="6" ht="30" customHeight="1">
      <c r="A6" s="17" t="n">
        <v>2</v>
      </c>
      <c r="B6" s="17" t="inlineStr">
        <is>
          <t>Browser History Simulator</t>
        </is>
      </c>
      <c r="C6" s="17" t="n">
        <v>2</v>
      </c>
      <c r="D6" s="17" t="inlineStr">
        <is>
          <t>Beginner</t>
        </is>
      </c>
      <c r="E6" s="17" t="inlineStr">
        <is>
          <t>Python</t>
        </is>
      </c>
      <c r="F6" s="17" t="n">
        <v>1</v>
      </c>
      <c r="G6" s="20" t="n">
        <v>5</v>
      </c>
      <c r="H6" s="19" t="n">
        <v>0</v>
      </c>
      <c r="I6" s="17" t="inlineStr">
        <is>
          <t>Not Started</t>
        </is>
      </c>
      <c r="J6" s="18" t="n">
        <v>0</v>
      </c>
      <c r="K6" s="17" t="inlineStr">
        <is>
          <t>github.com/yourname/history-simulator</t>
        </is>
      </c>
      <c r="L6" s="17" t="inlineStr">
        <is>
          <t>—</t>
        </is>
      </c>
      <c r="M6" s="17" t="inlineStr">
        <is>
          <t>LIFO browser navigation stack visit(), back(), forward() loops, history representation output logs.</t>
        </is>
      </c>
      <c r="N6" s="17" t="inlineStr">
        <is>
          <t>Stack operations push/pop, navigation pointers tracking, terminal log output formatting.</t>
        </is>
      </c>
      <c r="O6" s="17" t="inlineStr">
        <is>
          <t>Created an in-memory browser history navigation model utilizing multiple stacks in Python with undo/redo capabilities.</t>
        </is>
      </c>
    </row>
    <row r="7" ht="30" customHeight="1">
      <c r="A7" s="13" t="n">
        <v>3</v>
      </c>
      <c r="B7" s="13" t="inlineStr">
        <is>
          <t>Expression AST Parser &amp; Evaluator</t>
        </is>
      </c>
      <c r="C7" s="13" t="n">
        <v>3</v>
      </c>
      <c r="D7" s="13" t="inlineStr">
        <is>
          <t>Intermediate</t>
        </is>
      </c>
      <c r="E7" s="13" t="inlineStr">
        <is>
          <t>Python · AST</t>
        </is>
      </c>
      <c r="F7" s="13" t="n">
        <v>3</v>
      </c>
      <c r="G7" s="16" t="n">
        <v>5</v>
      </c>
      <c r="H7" s="15" t="n">
        <v>0</v>
      </c>
      <c r="I7" s="13" t="inlineStr">
        <is>
          <t>Not Started</t>
        </is>
      </c>
      <c r="J7" s="14" t="n">
        <v>0</v>
      </c>
      <c r="K7" s="13" t="inlineStr">
        <is>
          <t>github.com/yourname/ast-parser</t>
        </is>
      </c>
      <c r="L7" s="13" t="inlineStr">
        <is>
          <t>—</t>
        </is>
      </c>
      <c r="M7" s="13" t="inlineStr">
        <is>
          <t>Mathematical string parser utilizing Shunting-Yard infix to postfix conversion, AST nodes parsing, postorder traversal evaluator.</t>
        </is>
      </c>
      <c r="N7" s="13" t="inlineStr">
        <is>
          <t>Operator precedence parser mechanics, binary expression trees nodes creation, tree traversal recursive functions.</t>
        </is>
      </c>
      <c r="O7" s="13" t="inlineStr">
        <is>
          <t>Engineered a math expression parser from scratch in Python that parses strings into ASTs and evaluates them via postorder traversal.</t>
        </is>
      </c>
    </row>
    <row r="8" ht="30" customHeight="1">
      <c r="A8" s="17" t="n">
        <v>4</v>
      </c>
      <c r="B8" s="17" t="inlineStr">
        <is>
          <t>Social Network Connection Router API</t>
        </is>
      </c>
      <c r="C8" s="17" t="n">
        <v>4</v>
      </c>
      <c r="D8" s="17" t="inlineStr">
        <is>
          <t>Intermediate</t>
        </is>
      </c>
      <c r="E8" s="17" t="inlineStr">
        <is>
          <t>Python · NetworkX · FastAPI</t>
        </is>
      </c>
      <c r="F8" s="17" t="n">
        <v>3</v>
      </c>
      <c r="G8" s="20" t="n">
        <v>6</v>
      </c>
      <c r="H8" s="19" t="n">
        <v>0</v>
      </c>
      <c r="I8" s="17" t="inlineStr">
        <is>
          <t>Not Started</t>
        </is>
      </c>
      <c r="J8" s="18" t="n">
        <v>0</v>
      </c>
      <c r="K8" s="17" t="inlineStr">
        <is>
          <t>github.com/yourname/social-router-api</t>
        </is>
      </c>
      <c r="L8" s="17" t="inlineStr">
        <is>
          <t>—</t>
        </is>
      </c>
      <c r="M8" s="17" t="inlineStr">
        <is>
          <t>Friends graph models using NetworkX adjacency lists, custom weighted Dijkstra paths search, mutual friends finder, FastAPI routers.</t>
        </is>
      </c>
      <c r="N8" s="17" t="inlineStr">
        <is>
          <t>Graph node/edge structures, Dijkstra shortest-path complexity optimization, REST API path params validation.</t>
        </is>
      </c>
      <c r="O8" s="17" t="inlineStr">
        <is>
          <t>Shipped a social network routing API using FastAPI and NetworkX that implements Dijkstra's algorithm to find friends pathways.</t>
        </is>
      </c>
    </row>
    <row r="9" ht="30" customHeight="1">
      <c r="A9" s="13" t="n">
        <v>5</v>
      </c>
      <c r="B9" s="13" t="inlineStr">
        <is>
          <t>Task Management REST API (FastAPI + SQL)</t>
        </is>
      </c>
      <c r="C9" s="13" t="n">
        <v>5</v>
      </c>
      <c r="D9" s="13" t="inlineStr">
        <is>
          <t>Intermediate</t>
        </is>
      </c>
      <c r="E9" s="13" t="inlineStr">
        <is>
          <t>FastAPI · PostgreSQL · SQLAlchemy · Alembic</t>
        </is>
      </c>
      <c r="F9" s="13" t="n">
        <v>3</v>
      </c>
      <c r="G9" s="16" t="n">
        <v>8</v>
      </c>
      <c r="H9" s="15" t="n">
        <v>0</v>
      </c>
      <c r="I9" s="13" t="inlineStr">
        <is>
          <t>Not Started</t>
        </is>
      </c>
      <c r="J9" s="14" t="n">
        <v>0</v>
      </c>
      <c r="K9" s="13" t="inlineStr">
        <is>
          <t>github.com/yourname/fastapi-task-db-api</t>
        </is>
      </c>
      <c r="L9" s="13" t="inlineStr">
        <is>
          <t>—</t>
        </is>
      </c>
      <c r="M9" s="13" t="inlineStr">
        <is>
          <t>SQLAlchemy async models, Alembic migrations scripts, password hashing (bcrypt), JWT generation, authenticated task CRUD endpoints.</t>
        </is>
      </c>
      <c r="N9" s="13" t="inlineStr">
        <is>
          <t>Database async IO patterns, database migration loops, password encryption hashes, JWT tokens validation lifecycle.</t>
        </is>
      </c>
      <c r="O9" s="13" t="inlineStr">
        <is>
          <t>Built a secure task management REST API in FastAPI with PostgreSQL, SQLAlchemy ORM async engines, and JWT authorization checks.</t>
        </is>
      </c>
    </row>
    <row r="10" ht="30" customHeight="1">
      <c r="A10" s="17" t="n">
        <v>6</v>
      </c>
      <c r="B10" s="17" t="inlineStr">
        <is>
          <t>Production Tasks Queue Service (Microservices)</t>
        </is>
      </c>
      <c r="C10" s="17" t="n">
        <v>6</v>
      </c>
      <c r="D10" s="17" t="inlineStr">
        <is>
          <t>Advanced</t>
        </is>
      </c>
      <c r="E10" s="17" t="inlineStr">
        <is>
          <t>FastAPI · Redis · Celery · Docker · Compose</t>
        </is>
      </c>
      <c r="F10" s="17" t="n">
        <v>4</v>
      </c>
      <c r="G10" s="20" t="n">
        <v>10</v>
      </c>
      <c r="H10" s="19" t="n">
        <v>0</v>
      </c>
      <c r="I10" s="17" t="inlineStr">
        <is>
          <t>Not Started</t>
        </is>
      </c>
      <c r="J10" s="18" t="n">
        <v>0</v>
      </c>
      <c r="K10" s="17" t="inlineStr">
        <is>
          <t>github.com/yourname/tasks-queue-service</t>
        </is>
      </c>
      <c r="L10" s="17" t="inlineStr">
        <is>
          <t>—</t>
        </is>
      </c>
      <c r="M10" s="17" t="inlineStr">
        <is>
          <t>Redis Cache-Aside backend query routing, custom sliding window rate limiters (Redis ZSET), Celery async workers task logs, Dockerfiles.</t>
        </is>
      </c>
      <c r="N10" s="17" t="inlineStr">
        <is>
          <t>Redis key TTL structures, sliding window logs transaction controls, Celery distributed tasks queuing, compose multi-container networks.</t>
        </is>
      </c>
      <c r="O10" s="17" t="inlineStr">
        <is>
          <t>Designed and containerized a scalable backend service incorporating Redis caching, Sliding-Window rate limiters, and Celery tasks queues.</t>
        </is>
      </c>
    </row>
    <row r="11" ht="30" customHeight="1">
      <c r="A11" s="13" t="n">
        <v>7</v>
      </c>
      <c r="B11" s="13" t="inlineStr">
        <is>
          <t>Parking Lot Low-Level Design (OOD)</t>
        </is>
      </c>
      <c r="C11" s="13" t="n">
        <v>7</v>
      </c>
      <c r="D11" s="13" t="inlineStr">
        <is>
          <t>Intermediate</t>
        </is>
      </c>
      <c r="E11" s="13" t="inlineStr">
        <is>
          <t>Python · LLD · SOLID</t>
        </is>
      </c>
      <c r="F11" s="13" t="n">
        <v>3</v>
      </c>
      <c r="G11" s="16" t="n">
        <v>6</v>
      </c>
      <c r="H11" s="15" t="n">
        <v>0</v>
      </c>
      <c r="I11" s="13" t="inlineStr">
        <is>
          <t>Not Started</t>
        </is>
      </c>
      <c r="J11" s="14" t="n">
        <v>0</v>
      </c>
      <c r="K11" s="13" t="inlineStr">
        <is>
          <t>github.com/yourname/parking-lot-lld</t>
        </is>
      </c>
      <c r="L11" s="13" t="inlineStr">
        <is>
          <t>—</t>
        </is>
      </c>
      <c r="M11" s="13" t="inlineStr">
        <is>
          <t>SOLID compliant class structure mapping spot allocations, floor properties, payment gates, and ticket validation managers.</t>
        </is>
      </c>
      <c r="N11" s="13" t="inlineStr">
        <is>
          <t>Low-Level design principles, inheritance configurations, concurrency thread locks during concurrent checkout payments.</t>
        </is>
      </c>
      <c r="O11" s="13" t="inlineStr">
        <is>
          <t>Programmed a SOLID-compliant simulation of a multi-story parking lot with spot allocations logic and mock payment gates.</t>
        </is>
      </c>
    </row>
    <row r="12" ht="30" customHeight="1">
      <c r="A12" s="17" t="n">
        <v>8</v>
      </c>
      <c r="B12" s="17" t="inlineStr">
        <is>
          <t>PyTorch Handwritten Digit Classifier</t>
        </is>
      </c>
      <c r="C12" s="17" t="n">
        <v>8</v>
      </c>
      <c r="D12" s="17" t="inlineStr">
        <is>
          <t>Advanced</t>
        </is>
      </c>
      <c r="E12" s="17" t="inlineStr">
        <is>
          <t>PyTorch · NumPy · Scikit-Learn</t>
        </is>
      </c>
      <c r="F12" s="17" t="n">
        <v>4</v>
      </c>
      <c r="G12" s="20" t="n">
        <v>6</v>
      </c>
      <c r="H12" s="19" t="n">
        <v>0</v>
      </c>
      <c r="I12" s="17" t="inlineStr">
        <is>
          <t>Not Started</t>
        </is>
      </c>
      <c r="J12" s="18" t="n">
        <v>0</v>
      </c>
      <c r="K12" s="17" t="inlineStr">
        <is>
          <t>github.com/yourname/mnist-pytorch-classifier</t>
        </is>
      </c>
      <c r="L12" s="17" t="inlineStr">
        <is>
          <t>—</t>
        </is>
      </c>
      <c r="M12" s="17" t="inlineStr">
        <is>
          <t>MNIST training loader pipeline, deep feedforward linear layers design, loss loops backpropagation steps, metrics precision report.</t>
        </is>
      </c>
      <c r="N12" s="17" t="inlineStr">
        <is>
          <t>Tensor manipulations, backprop mechanics, linear/nonlinear network configurations, classifier validation metrics calculation.</t>
        </is>
      </c>
      <c r="O12" s="17" t="inlineStr">
        <is>
          <t>Trained a handwritten digit classifier on PyTorch, implementing full dataset loading pipelines and metrics evaluations loops.</t>
        </is>
      </c>
    </row>
    <row r="13" ht="30" customHeight="1">
      <c r="A13" s="13" t="n">
        <v>9</v>
      </c>
      <c r="B13" s="13" t="inlineStr">
        <is>
          <t>Semantic Document Q&amp;A RAG Chatbot</t>
        </is>
      </c>
      <c r="C13" s="13" t="n">
        <v>9</v>
      </c>
      <c r="D13" s="13" t="inlineStr">
        <is>
          <t>Advanced</t>
        </is>
      </c>
      <c r="E13" s="13" t="inlineStr">
        <is>
          <t>FastAPI · ChromaDB · OpenAI API · Pytest</t>
        </is>
      </c>
      <c r="F13" s="13" t="n">
        <v>4</v>
      </c>
      <c r="G13" s="16" t="n">
        <v>8</v>
      </c>
      <c r="H13" s="15" t="n">
        <v>0</v>
      </c>
      <c r="I13" s="13" t="inlineStr">
        <is>
          <t>Not Started</t>
        </is>
      </c>
      <c r="J13" s="14" t="n">
        <v>0</v>
      </c>
      <c r="K13" s="13" t="inlineStr">
        <is>
          <t>github.com/yourname/rag-doc-chatbot</t>
        </is>
      </c>
      <c r="L13" s="13" t="inlineStr">
        <is>
          <t>—</t>
        </is>
      </c>
      <c r="M13" s="13" t="inlineStr">
        <is>
          <t>PDF text extraction, semantic paragraph splitting pipelines, ChromaDB vector store collection seeding, prompt injections.</t>
        </is>
      </c>
      <c r="N13" s="13" t="inlineStr">
        <is>
          <t>Vector databases index queries, semantic chunking strategy tradeoffs, OpenAI embeddings calls, integration testing (Pytest).</t>
        </is>
      </c>
      <c r="O13" s="13" t="inlineStr">
        <is>
          <t>Architected a Q&amp;A chatbot using semantic RAG, integrating ChromaDB, OpenAI APIs, and validation modules verified via Pytest.</t>
        </is>
      </c>
    </row>
    <row r="14" ht="30" customHeight="1">
      <c r="A14" s="17" t="n">
        <v>10</v>
      </c>
      <c r="B14" s="17" t="inlineStr">
        <is>
          <t>Flagship AI Research Assistant (Multi-Agent)</t>
        </is>
      </c>
      <c r="C14" s="17" t="n">
        <v>10</v>
      </c>
      <c r="D14" s="17" t="inlineStr">
        <is>
          <t>Capstone</t>
        </is>
      </c>
      <c r="E14" s="17" t="inlineStr">
        <is>
          <t>FastAPI · LangGraph · ChromaDB · React · Tavily API</t>
        </is>
      </c>
      <c r="F14" s="17" t="n">
        <v>5</v>
      </c>
      <c r="G14" s="20" t="n">
        <v>20</v>
      </c>
      <c r="H14" s="19" t="n">
        <v>0</v>
      </c>
      <c r="I14" s="17" t="inlineStr">
        <is>
          <t>Not Started</t>
        </is>
      </c>
      <c r="J14" s="18" t="n">
        <v>0</v>
      </c>
      <c r="K14" s="17" t="inlineStr">
        <is>
          <t>github.com/yourname/langgraph-research-agent</t>
        </is>
      </c>
      <c r="L14" s="17" t="inlineStr">
        <is>
          <t>https://research-assistant.demo.com</t>
        </is>
      </c>
      <c r="M14" s="17" t="inlineStr">
        <is>
          <t>LangGraph state machine supervisor nodes routing, Tavily web search tools integrations, server-sent events stream, React UI.</t>
        </is>
      </c>
      <c r="N14" s="17" t="inlineStr">
        <is>
          <t>Multi-agent loop states structures, streaming server-sent streams, React stream chunks parser, multi-container compose deploys.</t>
        </is>
      </c>
      <c r="O14" s="17" t="inlineStr">
        <is>
          <t>Launched a flagship multi-agent research portal utilizing LangGraph state control, stream parsing interfaces, and Tavily search tools.</t>
        </is>
      </c>
    </row>
  </sheetData>
  <autoFilter ref="A4:O14"/>
  <mergeCells count="2">
    <mergeCell ref="A1:O1"/>
    <mergeCell ref="A2:O2"/>
  </mergeCells>
  <conditionalFormatting sqref="I5:I14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2">
      <formula>"Done"</formula>
    </cfRule>
    <cfRule type="cellIs" priority="5" operator="equal" dxfId="3">
      <formula>"Blocked"</formula>
    </cfRule>
    <cfRule type="cellIs" priority="6" operator="equal" dxfId="4">
      <formula>"Skipped"</formula>
    </cfRule>
  </conditionalFormatting>
  <conditionalFormatting sqref="J5:J14">
    <cfRule type="dataBar" priority="7">
      <dataBar showValue="1">
        <cfvo type="num" val="0"/>
        <cfvo type="num" val="100"/>
        <color rgb="006366F1"/>
      </dataBar>
    </cfRule>
  </conditionalFormatting>
  <dataValidations count="2">
    <dataValidation sqref="I5:I14" showDropDown="0" showInputMessage="0" showErrorMessage="0" allowBlank="1" type="list">
      <formula1>"Not Started,In Progress,Complete,Blocked,Skipped"</formula1>
    </dataValidation>
    <dataValidation sqref="D5:D14" showDropDown="0" showInputMessage="0" showErrorMessage="0" allowBlank="1" type="list">
      <formula1>"Beginner,Intermediate,Advanced,Production,Capstone"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0" customWidth="1" min="3" max="3"/>
    <col width="45" customWidth="1" min="4" max="4"/>
    <col width="55" customWidth="1" min="5" max="5"/>
    <col width="14" customWidth="1" min="6" max="6"/>
    <col width="14" customWidth="1" min="7" max="7"/>
    <col width="14" customWidth="1" min="8" max="8"/>
    <col width="38" customWidth="1" min="9" max="9"/>
  </cols>
  <sheetData>
    <row r="1" ht="36" customHeight="1">
      <c r="A1" s="1" t="inlineStr">
        <is>
          <t>Milestones</t>
        </is>
      </c>
    </row>
    <row r="2" ht="20" customHeight="1">
      <c r="A2" s="2" t="inlineStr">
        <is>
          <t>20 checkpoints that prove real progress — 2 per week</t>
        </is>
      </c>
    </row>
    <row r="4" ht="32" customHeight="1">
      <c r="A4" s="12" t="inlineStr">
        <is>
          <t>#</t>
        </is>
      </c>
      <c r="B4" s="12" t="inlineStr">
        <is>
          <t>Week</t>
        </is>
      </c>
      <c r="C4" s="12" t="inlineStr">
        <is>
          <t>Milestone</t>
        </is>
      </c>
      <c r="D4" s="12" t="inlineStr">
        <is>
          <t>Description</t>
        </is>
      </c>
      <c r="E4" s="12" t="inlineStr">
        <is>
          <t>Acceptance Criteria</t>
        </is>
      </c>
      <c r="F4" s="12" t="inlineStr">
        <is>
          <t>Target Date</t>
        </is>
      </c>
      <c r="G4" s="12" t="inlineStr">
        <is>
          <t>Achieved Date</t>
        </is>
      </c>
      <c r="H4" s="12" t="inlineStr">
        <is>
          <t>Status</t>
        </is>
      </c>
      <c r="I4" s="12" t="inlineStr">
        <is>
          <t>Reward</t>
        </is>
      </c>
    </row>
    <row r="5" ht="30" customHeight="1">
      <c r="A5" s="13" t="n">
        <v>1</v>
      </c>
      <c r="B5" s="13" t="n">
        <v>1</v>
      </c>
      <c r="C5" s="13" t="inlineStr">
        <is>
          <t>Dev Environment Ready</t>
        </is>
      </c>
      <c r="D5" s="13" t="inlineStr">
        <is>
          <t>Fully configured local dev environment with linting and formatting on save</t>
        </is>
      </c>
      <c r="E5" s="13" t="inlineStr">
        <is>
          <t>VS Code, Python 3.11, ruff, black, mypy installed; dotfiles repo public</t>
        </is>
      </c>
      <c r="F5" s="22" t="n"/>
      <c r="G5" s="22" t="n"/>
      <c r="H5" s="13" t="inlineStr">
        <is>
          <t>Not Started</t>
        </is>
      </c>
      <c r="I5" s="13" t="inlineStr">
        <is>
          <t>New keyboard shortcut sticker on laptop ⌨️</t>
        </is>
      </c>
    </row>
    <row r="6" ht="30" customHeight="1">
      <c r="A6" s="17" t="n">
        <v>2</v>
      </c>
      <c r="B6" s="17" t="n">
        <v>1</v>
      </c>
      <c r="C6" s="17" t="inlineStr">
        <is>
          <t>First Public CLI Shipped</t>
        </is>
      </c>
      <c r="D6" s="17" t="inlineStr">
        <is>
          <t>CLI Task Manager live on GitHub with CI passing</t>
        </is>
      </c>
      <c r="E6" s="17" t="inlineStr">
        <is>
          <t>Repo has README, MIT license, GH Actions green, &gt;=80% test coverage</t>
        </is>
      </c>
      <c r="F6" s="23" t="n"/>
      <c r="G6" s="23" t="n"/>
      <c r="H6" s="17" t="inlineStr">
        <is>
          <t>Not Started</t>
        </is>
      </c>
      <c r="I6" s="17" t="inlineStr">
        <is>
          <t>Tweet the repo link 🐦</t>
        </is>
      </c>
    </row>
    <row r="7" ht="30" customHeight="1">
      <c r="A7" s="13" t="n">
        <v>3</v>
      </c>
      <c r="B7" s="13" t="n">
        <v>2</v>
      </c>
      <c r="C7" s="13" t="inlineStr">
        <is>
          <t>CS Fundamentals Notes</t>
        </is>
      </c>
      <c r="D7" s="13" t="inlineStr">
        <is>
          <t>Complete OS + Networks + DBMS notes in knowledge base</t>
        </is>
      </c>
      <c r="E7" s="13" t="inlineStr">
        <is>
          <t>&gt;=30 pages markdown, with diagrams and 50 flashcards</t>
        </is>
      </c>
      <c r="F7" s="22" t="n"/>
      <c r="G7" s="22" t="n"/>
      <c r="H7" s="13" t="inlineStr">
        <is>
          <t>Not Started</t>
        </is>
      </c>
      <c r="I7" s="13" t="inlineStr">
        <is>
          <t>Favorite coffee outing ☕</t>
        </is>
      </c>
    </row>
    <row r="8" ht="30" customHeight="1">
      <c r="A8" s="17" t="n">
        <v>4</v>
      </c>
      <c r="B8" s="17" t="n">
        <v>2</v>
      </c>
      <c r="C8" s="17" t="inlineStr">
        <is>
          <t>First 50 Flashcards</t>
        </is>
      </c>
      <c r="D8" s="17" t="inlineStr">
        <is>
          <t>Seed your spaced-repetition system</t>
        </is>
      </c>
      <c r="E8" s="17" t="inlineStr">
        <is>
          <t>50 cards in Anki/Mochi/own tracker, all reviewed once</t>
        </is>
      </c>
      <c r="F8" s="23" t="n"/>
      <c r="G8" s="23" t="n"/>
      <c r="H8" s="17" t="inlineStr">
        <is>
          <t>Not Started</t>
        </is>
      </c>
      <c r="I8" s="17" t="inlineStr">
        <is>
          <t>1 movie night 🎬</t>
        </is>
      </c>
    </row>
    <row r="9" ht="30" customHeight="1">
      <c r="A9" s="13" t="n">
        <v>5</v>
      </c>
      <c r="B9" s="13" t="n">
        <v>3</v>
      </c>
      <c r="C9" s="13" t="inlineStr">
        <is>
          <t>SOLID Refactor</t>
        </is>
      </c>
      <c r="D9" s="13" t="inlineStr">
        <is>
          <t>Refactor TODO API to layered architecture</t>
        </is>
      </c>
      <c r="E9" s="13" t="inlineStr">
        <is>
          <t>Repository pattern, services layer, 90%+ tests, no SRP violations</t>
        </is>
      </c>
      <c r="F9" s="22" t="n"/>
      <c r="G9" s="22" t="n"/>
      <c r="H9" s="13" t="inlineStr">
        <is>
          <t>Not Started</t>
        </is>
      </c>
      <c r="I9" s="13" t="inlineStr">
        <is>
          <t>Buy that programming book you wanted 📚</t>
        </is>
      </c>
    </row>
    <row r="10" ht="30" customHeight="1">
      <c r="A10" s="17" t="n">
        <v>6</v>
      </c>
      <c r="B10" s="17" t="n">
        <v>3</v>
      </c>
      <c r="C10" s="17" t="inlineStr">
        <is>
          <t>First 100 LeetCode Easy/Medium</t>
        </is>
      </c>
      <c r="D10" s="17" t="inlineStr">
        <is>
          <t>Build problem-solving fluency</t>
        </is>
      </c>
      <c r="E10" s="17" t="inlineStr">
        <is>
          <t>100 problems solved on LeetCode, all neetcode.io easy patterns done</t>
        </is>
      </c>
      <c r="F10" s="23" t="n"/>
      <c r="G10" s="23" t="n"/>
      <c r="H10" s="17" t="inlineStr">
        <is>
          <t>Not Started</t>
        </is>
      </c>
      <c r="I10" s="17" t="inlineStr">
        <is>
          <t>Sunday off, no laptop 🌳</t>
        </is>
      </c>
    </row>
    <row r="11" ht="30" customHeight="1">
      <c r="A11" s="13" t="n">
        <v>7</v>
      </c>
      <c r="B11" s="13" t="n">
        <v>4</v>
      </c>
      <c r="C11" s="13" t="inlineStr">
        <is>
          <t>Production REST API Live</t>
        </is>
      </c>
      <c r="D11" s="13" t="inlineStr">
        <is>
          <t>Ship the Week 4 deliverable</t>
        </is>
      </c>
      <c r="E11" s="13" t="inlineStr">
        <is>
          <t>API deployed locally with auth, migrations, OpenAPI; 25+ endpoints</t>
        </is>
      </c>
      <c r="F11" s="22" t="n"/>
      <c r="G11" s="22" t="n"/>
      <c r="H11" s="13" t="inlineStr">
        <is>
          <t>Not Started</t>
        </is>
      </c>
      <c r="I11" s="13" t="inlineStr">
        <is>
          <t>Treat yourself to a nice dinner 🍣</t>
        </is>
      </c>
    </row>
    <row r="12" ht="30" customHeight="1">
      <c r="A12" s="17" t="n">
        <v>8</v>
      </c>
      <c r="B12" s="17" t="n">
        <v>4</v>
      </c>
      <c r="C12" s="17" t="inlineStr">
        <is>
          <t>Auth Mastery Checkpoint</t>
        </is>
      </c>
      <c r="D12" s="17" t="inlineStr">
        <is>
          <t>Explain JWT auth flow from memory on whiteboard</t>
        </is>
      </c>
      <c r="E12" s="17" t="inlineStr">
        <is>
          <t>5-min recorded explanation covering access/refresh/rotation/blacklist</t>
        </is>
      </c>
      <c r="F12" s="23" t="n"/>
      <c r="G12" s="23" t="n"/>
      <c r="H12" s="17" t="inlineStr">
        <is>
          <t>Not Started</t>
        </is>
      </c>
      <c r="I12" s="17" t="inlineStr">
        <is>
          <t>Share the recording on LinkedIn 💼</t>
        </is>
      </c>
    </row>
    <row r="13" ht="30" customHeight="1">
      <c r="A13" s="13" t="n">
        <v>9</v>
      </c>
      <c r="B13" s="13" t="n">
        <v>5</v>
      </c>
      <c r="C13" s="13" t="inlineStr">
        <is>
          <t>First Container in Production</t>
        </is>
      </c>
      <c r="D13" s="13" t="inlineStr">
        <is>
          <t>Deploy first Docker container to AWS EC2</t>
        </is>
      </c>
      <c r="E13" s="13" t="inlineStr">
        <is>
          <t>Live URL serving HTTPS traffic through Nginx</t>
        </is>
      </c>
      <c r="F13" s="22" t="n"/>
      <c r="G13" s="22" t="n"/>
      <c r="H13" s="13" t="inlineStr">
        <is>
          <t>Not Started</t>
        </is>
      </c>
      <c r="I13" s="13" t="inlineStr">
        <is>
          <t>New mechanical keyboard? 😎</t>
        </is>
      </c>
    </row>
    <row r="14" ht="30" customHeight="1">
      <c r="A14" s="17" t="n">
        <v>10</v>
      </c>
      <c r="B14" s="17" t="n">
        <v>5</v>
      </c>
      <c r="C14" s="17" t="inlineStr">
        <is>
          <t>CI/CD Pipeline Green</t>
        </is>
      </c>
      <c r="D14" s="17" t="inlineStr">
        <is>
          <t>Automated build/test/deploy pipeline</t>
        </is>
      </c>
      <c r="E14" s="17" t="inlineStr">
        <is>
          <t>Push to main → live in &lt;5 min; rollback documented</t>
        </is>
      </c>
      <c r="F14" s="23" t="n"/>
      <c r="G14" s="23" t="n"/>
      <c r="H14" s="17" t="inlineStr">
        <is>
          <t>Not Started</t>
        </is>
      </c>
      <c r="I14" s="17" t="inlineStr">
        <is>
          <t>Weekend hike 🥾</t>
        </is>
      </c>
    </row>
    <row r="15" ht="30" customHeight="1">
      <c r="A15" s="13" t="n">
        <v>11</v>
      </c>
      <c r="B15" s="13" t="n">
        <v>6</v>
      </c>
      <c r="C15" s="13" t="inlineStr">
        <is>
          <t>Neural Net from Scratch</t>
        </is>
      </c>
      <c r="D15" s="13" t="inlineStr">
        <is>
          <t>Build &amp; train MLP without frameworks</t>
        </is>
      </c>
      <c r="E15" s="13" t="inlineStr">
        <is>
          <t>micrograd-style implementation; trains on MNIST to &gt;=95%</t>
        </is>
      </c>
      <c r="F15" s="22" t="n"/>
      <c r="G15" s="22" t="n"/>
      <c r="H15" s="13" t="inlineStr">
        <is>
          <t>Not Started</t>
        </is>
      </c>
      <c r="I15" s="13" t="inlineStr">
        <is>
          <t>Frame the loss curve 📈</t>
        </is>
      </c>
    </row>
    <row r="16" ht="30" customHeight="1">
      <c r="A16" s="17" t="n">
        <v>12</v>
      </c>
      <c r="B16" s="17" t="n">
        <v>6</v>
      </c>
      <c r="C16" s="17" t="inlineStr">
        <is>
          <t>Sentiment API Deployed</t>
        </is>
      </c>
      <c r="D16" s="17" t="inlineStr">
        <is>
          <t>HuggingFace model live in production</t>
        </is>
      </c>
      <c r="E16" s="17" t="inlineStr">
        <is>
          <t>Public endpoint with Swagger; &gt;=85% accuracy on IMDb test</t>
        </is>
      </c>
      <c r="F16" s="23" t="n"/>
      <c r="G16" s="23" t="n"/>
      <c r="H16" s="17" t="inlineStr">
        <is>
          <t>Not Started</t>
        </is>
      </c>
      <c r="I16" s="17" t="inlineStr">
        <is>
          <t>Order a fun gadget 🎁</t>
        </is>
      </c>
    </row>
    <row r="17" ht="30" customHeight="1">
      <c r="A17" s="13" t="n">
        <v>13</v>
      </c>
      <c r="B17" s="13" t="n">
        <v>7</v>
      </c>
      <c r="C17" s="13" t="inlineStr">
        <is>
          <t>First RAG Pipeline</t>
        </is>
      </c>
      <c r="D17" s="13" t="inlineStr">
        <is>
          <t>End-to-end RAG with eval</t>
        </is>
      </c>
      <c r="E17" s="13" t="inlineStr">
        <is>
          <t>Ingest → embed → retrieve → rerank → generate; RAGAS scores documented</t>
        </is>
      </c>
      <c r="F17" s="22" t="n"/>
      <c r="G17" s="22" t="n"/>
      <c r="H17" s="13" t="inlineStr">
        <is>
          <t>Not Started</t>
        </is>
      </c>
      <c r="I17" s="13" t="inlineStr">
        <is>
          <t>Game night 🎮</t>
        </is>
      </c>
    </row>
    <row r="18" ht="30" customHeight="1">
      <c r="A18" s="17" t="n">
        <v>14</v>
      </c>
      <c r="B18" s="17" t="n">
        <v>7</v>
      </c>
      <c r="C18" s="17" t="inlineStr">
        <is>
          <t>Doc Chatbot Live</t>
        </is>
      </c>
      <c r="D18" s="17" t="inlineStr">
        <is>
          <t>Public Streamlit RAG app</t>
        </is>
      </c>
      <c r="E18" s="17" t="inlineStr">
        <is>
          <t>Anyone can chat with your docs; citations shown; eval report in README</t>
        </is>
      </c>
      <c r="F18" s="23" t="n"/>
      <c r="G18" s="23" t="n"/>
      <c r="H18" s="17" t="inlineStr">
        <is>
          <t>Not Started</t>
        </is>
      </c>
      <c r="I18" s="17" t="inlineStr">
        <is>
          <t>Post a demo video on Twitter/LinkedIn 📹</t>
        </is>
      </c>
    </row>
    <row r="19" ht="30" customHeight="1">
      <c r="A19" s="13" t="n">
        <v>15</v>
      </c>
      <c r="B19" s="13" t="n">
        <v>8</v>
      </c>
      <c r="C19" s="13" t="inlineStr">
        <is>
          <t>ReAct Agent Working</t>
        </is>
      </c>
      <c r="D19" s="13" t="inlineStr">
        <is>
          <t>Tool-using agent on real tasks</t>
        </is>
      </c>
      <c r="E19" s="13" t="inlineStr">
        <is>
          <t>Solves &gt;=80% of 20-task suite end-to-end with web + math tools</t>
        </is>
      </c>
      <c r="F19" s="22" t="n"/>
      <c r="G19" s="22" t="n"/>
      <c r="H19" s="13" t="inlineStr">
        <is>
          <t>Not Started</t>
        </is>
      </c>
      <c r="I19" s="13" t="inlineStr">
        <is>
          <t>New tech t-shirt 👕</t>
        </is>
      </c>
    </row>
    <row r="20" ht="30" customHeight="1">
      <c r="A20" s="17" t="n">
        <v>16</v>
      </c>
      <c r="B20" s="17" t="n">
        <v>8</v>
      </c>
      <c r="C20" s="17" t="inlineStr">
        <is>
          <t>Multi-Agent System</t>
        </is>
      </c>
      <c r="D20" s="17" t="inlineStr">
        <is>
          <t>LangGraph multi-agent assistant</t>
        </is>
      </c>
      <c r="E20" s="17" t="inlineStr">
        <is>
          <t>Planner+Researcher+Writer produces 1500+ word research briefs</t>
        </is>
      </c>
      <c r="F20" s="23" t="n"/>
      <c r="G20" s="23" t="n"/>
      <c r="H20" s="17" t="inlineStr">
        <is>
          <t>Not Started</t>
        </is>
      </c>
      <c r="I20" s="17" t="inlineStr">
        <is>
          <t>Share architecture diagram on blog ✍️</t>
        </is>
      </c>
    </row>
    <row r="21" ht="30" customHeight="1">
      <c r="A21" s="13" t="n">
        <v>17</v>
      </c>
      <c r="B21" s="13" t="n">
        <v>9</v>
      </c>
      <c r="C21" s="13" t="inlineStr">
        <is>
          <t>LLM Gateway in Production</t>
        </is>
      </c>
      <c r="D21" s="13" t="inlineStr">
        <is>
          <t>Serve real LLM traffic with limits + cache</t>
        </is>
      </c>
      <c r="E21" s="13" t="inlineStr">
        <is>
          <t>Rate limit + semantic cache + metrics live; load tested 100 RPS</t>
        </is>
      </c>
      <c r="F21" s="22" t="n"/>
      <c r="G21" s="22" t="n"/>
      <c r="H21" s="13" t="inlineStr">
        <is>
          <t>Not Started</t>
        </is>
      </c>
      <c r="I21" s="13" t="inlineStr">
        <is>
          <t>Premium coffee beans ☕</t>
        </is>
      </c>
    </row>
    <row r="22" ht="30" customHeight="1">
      <c r="A22" s="17" t="n">
        <v>18</v>
      </c>
      <c r="B22" s="17" t="n">
        <v>9</v>
      </c>
      <c r="C22" s="17" t="inlineStr">
        <is>
          <t>System Design Mock Pass</t>
        </is>
      </c>
      <c r="D22" s="17" t="inlineStr">
        <is>
          <t>Pass a mock SD interview at 80%+</t>
        </is>
      </c>
      <c r="E22" s="17" t="inlineStr">
        <is>
          <t>Recorded mock + feedback from peer; covered scale/storage/caching</t>
        </is>
      </c>
      <c r="F22" s="23" t="n"/>
      <c r="G22" s="23" t="n"/>
      <c r="H22" s="17" t="inlineStr">
        <is>
          <t>Not Started</t>
        </is>
      </c>
      <c r="I22" s="17" t="inlineStr">
        <is>
          <t>Big weekend off 🏖️</t>
        </is>
      </c>
    </row>
    <row r="23" ht="30" customHeight="1">
      <c r="A23" s="13" t="n">
        <v>19</v>
      </c>
      <c r="B23" s="13" t="n">
        <v>10</v>
      </c>
      <c r="C23" s="13" t="inlineStr">
        <is>
          <t>Capstone Shipped</t>
        </is>
      </c>
      <c r="D23" s="13" t="inlineStr">
        <is>
          <t>Capstone AI SaaS live and public</t>
        </is>
      </c>
      <c r="E23" s="13" t="inlineStr">
        <is>
          <t>End-to-end app live; signup → use feature → see billing; README full</t>
        </is>
      </c>
      <c r="F23" s="22" t="n"/>
      <c r="G23" s="22" t="n"/>
      <c r="H23" s="13" t="inlineStr">
        <is>
          <t>Not Started</t>
        </is>
      </c>
      <c r="I23" s="13" t="inlineStr">
        <is>
          <t>Celebration dinner 🥂</t>
        </is>
      </c>
    </row>
    <row r="24" ht="30" customHeight="1">
      <c r="A24" s="17" t="n">
        <v>20</v>
      </c>
      <c r="B24" s="17" t="n">
        <v>10</v>
      </c>
      <c r="C24" s="17" t="inlineStr">
        <is>
          <t>FAANG-Ready</t>
        </is>
      </c>
      <c r="D24" s="17" t="inlineStr">
        <is>
          <t>Resume sent + 5 mock interviews done</t>
        </is>
      </c>
      <c r="E24" s="17" t="inlineStr">
        <is>
          <t>Resume reviewed; 5 mocks &gt;=75% avg; 12 STAR stories memorized</t>
        </is>
      </c>
      <c r="F24" s="23" t="n"/>
      <c r="G24" s="23" t="n"/>
      <c r="H24" s="17" t="inlineStr">
        <is>
          <t>Not Started</t>
        </is>
      </c>
      <c r="I24" s="17" t="inlineStr">
        <is>
          <t>Apply to 10 target roles 🎯</t>
        </is>
      </c>
    </row>
  </sheetData>
  <autoFilter ref="A4:I24"/>
  <mergeCells count="2">
    <mergeCell ref="A1:I1"/>
    <mergeCell ref="A2:I2"/>
  </mergeCells>
  <conditionalFormatting sqref="H5:H24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2">
      <formula>"Done"</formula>
    </cfRule>
    <cfRule type="cellIs" priority="5" operator="equal" dxfId="3">
      <formula>"Blocked"</formula>
    </cfRule>
    <cfRule type="cellIs" priority="6" operator="equal" dxfId="4">
      <formula>"Skipped"</formula>
    </cfRule>
  </conditionalFormatting>
  <dataValidations count="1">
    <dataValidation sqref="H5:H24" showDropDown="0" showInputMessage="0" showErrorMessage="0" allowBlank="1" type="list">
      <formula1>"Not Started,In Progress,Complete,Blocked,Skipped"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4" customWidth="1" min="3" max="3"/>
    <col width="25" customWidth="1" min="4" max="4"/>
    <col width="16" customWidth="1" min="5" max="5"/>
    <col width="45" customWidth="1" min="6" max="6"/>
  </cols>
  <sheetData>
    <row r="1" ht="36" customHeight="1">
      <c r="A1" s="1" t="inlineStr">
        <is>
          <t>Interview Prep Questions</t>
        </is>
      </c>
    </row>
    <row r="2" ht="20" customHeight="1">
      <c r="A2" s="2" t="inlineStr">
        <is>
          <t>60+ core questions across Python, SQL, DSA, OOD, OS, DBMS, System Design, AI, and Behavioral</t>
        </is>
      </c>
    </row>
    <row r="4" ht="32" customHeight="1">
      <c r="A4" s="12" t="inlineStr">
        <is>
          <t>Topic</t>
        </is>
      </c>
      <c r="B4" s="12" t="inlineStr">
        <is>
          <t>Interview Question</t>
        </is>
      </c>
      <c r="C4" s="12" t="inlineStr">
        <is>
          <t>Difficulty</t>
        </is>
      </c>
      <c r="D4" s="12" t="inlineStr">
        <is>
          <t>Target Companies</t>
        </is>
      </c>
      <c r="E4" s="12" t="inlineStr">
        <is>
          <t>Status</t>
        </is>
      </c>
      <c r="F4" s="12" t="inlineStr">
        <is>
          <t>Notes</t>
        </is>
      </c>
    </row>
    <row r="5" ht="30" customHeight="1">
      <c r="A5" s="13" t="inlineStr">
        <is>
          <t>Python</t>
        </is>
      </c>
      <c r="B5" s="13" t="inlineStr">
        <is>
          <t>Explain the GIL and its impact on multithreading vs multiprocessing</t>
        </is>
      </c>
      <c r="C5" s="13" t="inlineStr">
        <is>
          <t>Medium</t>
        </is>
      </c>
      <c r="D5" s="13" t="inlineStr">
        <is>
          <t>Google, Meta</t>
        </is>
      </c>
      <c r="E5" s="13" t="inlineStr">
        <is>
          <t>Not Started</t>
        </is>
      </c>
      <c r="F5" s="13" t="inlineStr"/>
    </row>
    <row r="6" ht="30" customHeight="1">
      <c r="A6" s="17" t="inlineStr">
        <is>
          <t>Python</t>
        </is>
      </c>
      <c r="B6" s="17" t="inlineStr">
        <is>
          <t>What's the difference between __new__ and __init__? When would you override __new__?</t>
        </is>
      </c>
      <c r="C6" s="17" t="inlineStr">
        <is>
          <t>Medium</t>
        </is>
      </c>
      <c r="D6" s="17" t="inlineStr">
        <is>
          <t>Meta, Amazon</t>
        </is>
      </c>
      <c r="E6" s="17" t="inlineStr">
        <is>
          <t>Not Started</t>
        </is>
      </c>
      <c r="F6" s="17" t="inlineStr"/>
    </row>
    <row r="7" ht="30" customHeight="1">
      <c r="A7" s="13" t="inlineStr">
        <is>
          <t>Python</t>
        </is>
      </c>
      <c r="B7" s="13" t="inlineStr">
        <is>
          <t>Explain how Python's MRO works with multiple inheritance (C3 linearization)</t>
        </is>
      </c>
      <c r="C7" s="13" t="inlineStr">
        <is>
          <t>Hard</t>
        </is>
      </c>
      <c r="D7" s="13" t="inlineStr">
        <is>
          <t>Google, Stripe</t>
        </is>
      </c>
      <c r="E7" s="13" t="inlineStr">
        <is>
          <t>Not Started</t>
        </is>
      </c>
      <c r="F7" s="13" t="inlineStr"/>
    </row>
    <row r="8" ht="30" customHeight="1">
      <c r="A8" s="17" t="inlineStr">
        <is>
          <t>Python</t>
        </is>
      </c>
      <c r="B8" s="17" t="inlineStr">
        <is>
          <t>How does Python's garbage collector handle reference cycles?</t>
        </is>
      </c>
      <c r="C8" s="17" t="inlineStr">
        <is>
          <t>Hard</t>
        </is>
      </c>
      <c r="D8" s="17" t="inlineStr">
        <is>
          <t>Meta, Microsoft</t>
        </is>
      </c>
      <c r="E8" s="17" t="inlineStr">
        <is>
          <t>Not Started</t>
        </is>
      </c>
      <c r="F8" s="17" t="inlineStr"/>
    </row>
    <row r="9" ht="30" customHeight="1">
      <c r="A9" s="13" t="inlineStr">
        <is>
          <t>Python</t>
        </is>
      </c>
      <c r="B9" s="13" t="inlineStr">
        <is>
          <t>Implement a decorator that retries a function with exponential backoff</t>
        </is>
      </c>
      <c r="C9" s="13" t="inlineStr">
        <is>
          <t>Medium</t>
        </is>
      </c>
      <c r="D9" s="13" t="inlineStr">
        <is>
          <t>OpenAI, Anthropic</t>
        </is>
      </c>
      <c r="E9" s="13" t="inlineStr">
        <is>
          <t>Not Started</t>
        </is>
      </c>
      <c r="F9" s="13" t="inlineStr"/>
    </row>
    <row r="10" ht="30" customHeight="1">
      <c r="A10" s="17" t="inlineStr">
        <is>
          <t>Python</t>
        </is>
      </c>
      <c r="B10" s="17" t="inlineStr">
        <is>
          <t>What are metaclasses in Python and how do they modify class generation?</t>
        </is>
      </c>
      <c r="C10" s="17" t="inlineStr">
        <is>
          <t>Hard</t>
        </is>
      </c>
      <c r="D10" s="17" t="inlineStr">
        <is>
          <t>Google, Netflix</t>
        </is>
      </c>
      <c r="E10" s="17" t="inlineStr">
        <is>
          <t>Not Started</t>
        </is>
      </c>
      <c r="F10" s="17" t="inlineStr"/>
    </row>
    <row r="11" ht="30" customHeight="1">
      <c r="A11" s="13" t="inlineStr">
        <is>
          <t>Python</t>
        </is>
      </c>
      <c r="B11" s="13" t="inlineStr">
        <is>
          <t>Explain the difference between deepcopy and shallow copy in nested data structures</t>
        </is>
      </c>
      <c r="C11" s="13" t="inlineStr">
        <is>
          <t>Easy</t>
        </is>
      </c>
      <c r="D11" s="13" t="inlineStr">
        <is>
          <t>Apple, Microsoft</t>
        </is>
      </c>
      <c r="E11" s="13" t="inlineStr">
        <is>
          <t>Not Started</t>
        </is>
      </c>
      <c r="F11" s="13" t="inlineStr"/>
    </row>
    <row r="12" ht="30" customHeight="1">
      <c r="A12" s="17" t="inlineStr">
        <is>
          <t>Python</t>
        </is>
      </c>
      <c r="B12" s="17" t="inlineStr">
        <is>
          <t>How do generators work under the hood and what is the function of the yield statement?</t>
        </is>
      </c>
      <c r="C12" s="17" t="inlineStr">
        <is>
          <t>Medium</t>
        </is>
      </c>
      <c r="D12" s="17" t="inlineStr">
        <is>
          <t>Amazon, Uber</t>
        </is>
      </c>
      <c r="E12" s="17" t="inlineStr">
        <is>
          <t>Not Started</t>
        </is>
      </c>
      <c r="F12" s="17" t="inlineStr"/>
    </row>
    <row r="13" ht="30" customHeight="1">
      <c r="A13" s="13" t="inlineStr">
        <is>
          <t>SQL</t>
        </is>
      </c>
      <c r="B13" s="13" t="inlineStr">
        <is>
          <t>Write a query to find the second-highest salary per department</t>
        </is>
      </c>
      <c r="C13" s="13" t="inlineStr">
        <is>
          <t>Medium</t>
        </is>
      </c>
      <c r="D13" s="13" t="inlineStr">
        <is>
          <t>Amazon, Google</t>
        </is>
      </c>
      <c r="E13" s="13" t="inlineStr">
        <is>
          <t>Not Started</t>
        </is>
      </c>
      <c r="F13" s="13" t="inlineStr"/>
    </row>
    <row r="14" ht="30" customHeight="1">
      <c r="A14" s="17" t="inlineStr">
        <is>
          <t>SQL</t>
        </is>
      </c>
      <c r="B14" s="17" t="inlineStr">
        <is>
          <t>Explain B-tree vs hash indexes; when would you use each?</t>
        </is>
      </c>
      <c r="C14" s="17" t="inlineStr">
        <is>
          <t>Medium</t>
        </is>
      </c>
      <c r="D14" s="17" t="inlineStr">
        <is>
          <t>Meta, Stripe</t>
        </is>
      </c>
      <c r="E14" s="17" t="inlineStr">
        <is>
          <t>Not Started</t>
        </is>
      </c>
      <c r="F14" s="17" t="inlineStr"/>
    </row>
    <row r="15" ht="30" customHeight="1">
      <c r="A15" s="13" t="inlineStr">
        <is>
          <t>SQL</t>
        </is>
      </c>
      <c r="B15" s="13" t="inlineStr">
        <is>
          <t>What is a covering index? Show an EXPLAIN that benefits from one</t>
        </is>
      </c>
      <c r="C15" s="13" t="inlineStr">
        <is>
          <t>Hard</t>
        </is>
      </c>
      <c r="D15" s="13" t="inlineStr">
        <is>
          <t>Google, Snowflake</t>
        </is>
      </c>
      <c r="E15" s="13" t="inlineStr">
        <is>
          <t>Not Started</t>
        </is>
      </c>
      <c r="F15" s="13" t="inlineStr"/>
    </row>
    <row r="16" ht="30" customHeight="1">
      <c r="A16" s="17" t="inlineStr">
        <is>
          <t>SQL</t>
        </is>
      </c>
      <c r="B16" s="17" t="inlineStr">
        <is>
          <t>Difference between WHERE and HAVING? Can HAVING work without GROUP BY?</t>
        </is>
      </c>
      <c r="C16" s="17" t="inlineStr">
        <is>
          <t>Easy</t>
        </is>
      </c>
      <c r="D16" s="17" t="inlineStr">
        <is>
          <t>Amazon</t>
        </is>
      </c>
      <c r="E16" s="17" t="inlineStr">
        <is>
          <t>Not Started</t>
        </is>
      </c>
      <c r="F16" s="17" t="inlineStr"/>
    </row>
    <row r="17" ht="30" customHeight="1">
      <c r="A17" s="13" t="inlineStr">
        <is>
          <t>SQL</t>
        </is>
      </c>
      <c r="B17" s="13" t="inlineStr">
        <is>
          <t>Design a query to find users who logged in on N consecutive days</t>
        </is>
      </c>
      <c r="C17" s="13" t="inlineStr">
        <is>
          <t>Hard</t>
        </is>
      </c>
      <c r="D17" s="13" t="inlineStr">
        <is>
          <t>Meta, TikTok</t>
        </is>
      </c>
      <c r="E17" s="13" t="inlineStr">
        <is>
          <t>Not Started</t>
        </is>
      </c>
      <c r="F17" s="13" t="inlineStr"/>
    </row>
    <row r="18" ht="30" customHeight="1">
      <c r="A18" s="17" t="inlineStr">
        <is>
          <t>SQL</t>
        </is>
      </c>
      <c r="B18" s="17" t="inlineStr">
        <is>
          <t>Explain database normalization forms from 1NF to BCNF with design examples</t>
        </is>
      </c>
      <c r="C18" s="17" t="inlineStr">
        <is>
          <t>Medium</t>
        </is>
      </c>
      <c r="D18" s="17" t="inlineStr">
        <is>
          <t>Stripe, Square</t>
        </is>
      </c>
      <c r="E18" s="17" t="inlineStr">
        <is>
          <t>Not Started</t>
        </is>
      </c>
      <c r="F18" s="17" t="inlineStr"/>
    </row>
    <row r="19" ht="30" customHeight="1">
      <c r="A19" s="13" t="inlineStr">
        <is>
          <t>SQL</t>
        </is>
      </c>
      <c r="B19" s="13" t="inlineStr">
        <is>
          <t>Write a query utilizing window functions (e.g., LEAD, LAG, DENSE_RANK) to detect user sessions</t>
        </is>
      </c>
      <c r="C19" s="13" t="inlineStr">
        <is>
          <t>Hard</t>
        </is>
      </c>
      <c r="D19" s="13" t="inlineStr">
        <is>
          <t>Meta, Snowflake</t>
        </is>
      </c>
      <c r="E19" s="13" t="inlineStr">
        <is>
          <t>Not Started</t>
        </is>
      </c>
      <c r="F19" s="13" t="inlineStr"/>
    </row>
    <row r="20" ht="30" customHeight="1">
      <c r="A20" s="17" t="inlineStr">
        <is>
          <t>DSA</t>
        </is>
      </c>
      <c r="B20" s="17" t="inlineStr">
        <is>
          <t>Find longest substring without repeating characters</t>
        </is>
      </c>
      <c r="C20" s="17" t="inlineStr">
        <is>
          <t>Medium</t>
        </is>
      </c>
      <c r="D20" s="17" t="inlineStr">
        <is>
          <t>All FAANG</t>
        </is>
      </c>
      <c r="E20" s="17" t="inlineStr">
        <is>
          <t>Not Started</t>
        </is>
      </c>
      <c r="F20" s="17" t="inlineStr"/>
    </row>
    <row r="21" ht="30" customHeight="1">
      <c r="A21" s="13" t="inlineStr">
        <is>
          <t>DSA</t>
        </is>
      </c>
      <c r="B21" s="13" t="inlineStr">
        <is>
          <t>Implement LRU cache using a doubly linked list + hashmap</t>
        </is>
      </c>
      <c r="C21" s="13" t="inlineStr">
        <is>
          <t>Medium</t>
        </is>
      </c>
      <c r="D21" s="13" t="inlineStr">
        <is>
          <t>Amazon, Google</t>
        </is>
      </c>
      <c r="E21" s="13" t="inlineStr">
        <is>
          <t>Not Started</t>
        </is>
      </c>
      <c r="F21" s="13" t="inlineStr"/>
    </row>
    <row r="22" ht="30" customHeight="1">
      <c r="A22" s="17" t="inlineStr">
        <is>
          <t>DSA</t>
        </is>
      </c>
      <c r="B22" s="17" t="inlineStr">
        <is>
          <t>Word ladder (BFS) — minimum transformations between two words</t>
        </is>
      </c>
      <c r="C22" s="17" t="inlineStr">
        <is>
          <t>Hard</t>
        </is>
      </c>
      <c r="D22" s="17" t="inlineStr">
        <is>
          <t>Google, Meta</t>
        </is>
      </c>
      <c r="E22" s="17" t="inlineStr">
        <is>
          <t>Not Started</t>
        </is>
      </c>
      <c r="F22" s="17" t="inlineStr"/>
    </row>
    <row r="23" ht="30" customHeight="1">
      <c r="A23" s="13" t="inlineStr">
        <is>
          <t>DSA</t>
        </is>
      </c>
      <c r="B23" s="13" t="inlineStr">
        <is>
          <t>Top K frequent elements — discuss heap vs quickselect tradeoffs</t>
        </is>
      </c>
      <c r="C23" s="13" t="inlineStr">
        <is>
          <t>Medium</t>
        </is>
      </c>
      <c r="D23" s="13" t="inlineStr">
        <is>
          <t>Meta, OpenAI</t>
        </is>
      </c>
      <c r="E23" s="13" t="inlineStr">
        <is>
          <t>Not Started</t>
        </is>
      </c>
      <c r="F23" s="13" t="inlineStr"/>
    </row>
    <row r="24" ht="30" customHeight="1">
      <c r="A24" s="17" t="inlineStr">
        <is>
          <t>DSA</t>
        </is>
      </c>
      <c r="B24" s="17" t="inlineStr">
        <is>
          <t>Design and implement a thread-safe rate limiter (token bucket)</t>
        </is>
      </c>
      <c r="C24" s="17" t="inlineStr">
        <is>
          <t>Hard</t>
        </is>
      </c>
      <c r="D24" s="17" t="inlineStr">
        <is>
          <t>Stripe, Google</t>
        </is>
      </c>
      <c r="E24" s="17" t="inlineStr">
        <is>
          <t>Not Started</t>
        </is>
      </c>
      <c r="F24" s="17" t="inlineStr"/>
    </row>
    <row r="25" ht="30" customHeight="1">
      <c r="A25" s="13" t="inlineStr">
        <is>
          <t>DSA</t>
        </is>
      </c>
      <c r="B25" s="13" t="inlineStr">
        <is>
          <t>Reverse nodes in k-Group in a singly linked list in-place</t>
        </is>
      </c>
      <c r="C25" s="13" t="inlineStr">
        <is>
          <t>Hard</t>
        </is>
      </c>
      <c r="D25" s="13" t="inlineStr">
        <is>
          <t>Google, Apple</t>
        </is>
      </c>
      <c r="E25" s="13" t="inlineStr">
        <is>
          <t>Not Started</t>
        </is>
      </c>
      <c r="F25" s="13" t="inlineStr"/>
    </row>
    <row r="26" ht="30" customHeight="1">
      <c r="A26" s="17" t="inlineStr">
        <is>
          <t>DSA</t>
        </is>
      </c>
      <c r="B26" s="17" t="inlineStr">
        <is>
          <t>Find maximum path sum in a binary tree (any node to any node)</t>
        </is>
      </c>
      <c r="C26" s="17" t="inlineStr">
        <is>
          <t>Hard</t>
        </is>
      </c>
      <c r="D26" s="17" t="inlineStr">
        <is>
          <t>Facebook, ByteDance</t>
        </is>
      </c>
      <c r="E26" s="17" t="inlineStr">
        <is>
          <t>Not Started</t>
        </is>
      </c>
      <c r="F26" s="17" t="inlineStr"/>
    </row>
    <row r="27" ht="30" customHeight="1">
      <c r="A27" s="13" t="inlineStr">
        <is>
          <t>DSA</t>
        </is>
      </c>
      <c r="B27" s="13" t="inlineStr">
        <is>
          <t>Implement Dijkstra's shortest path algorithm using a min-heap</t>
        </is>
      </c>
      <c r="C27" s="13" t="inlineStr">
        <is>
          <t>Medium</t>
        </is>
      </c>
      <c r="D27" s="13" t="inlineStr">
        <is>
          <t>Microsoft, Amazon</t>
        </is>
      </c>
      <c r="E27" s="13" t="inlineStr">
        <is>
          <t>Not Started</t>
        </is>
      </c>
      <c r="F27" s="13" t="inlineStr"/>
    </row>
    <row r="28" ht="30" customHeight="1">
      <c r="A28" s="17" t="inlineStr">
        <is>
          <t>DSA</t>
        </is>
      </c>
      <c r="B28" s="17" t="inlineStr">
        <is>
          <t>Solve the 0/1 Knapsack problem with DP and print chosen items</t>
        </is>
      </c>
      <c r="C28" s="17" t="inlineStr">
        <is>
          <t>Medium</t>
        </is>
      </c>
      <c r="D28" s="17" t="inlineStr">
        <is>
          <t>Google, Bloomberg</t>
        </is>
      </c>
      <c r="E28" s="17" t="inlineStr">
        <is>
          <t>Not Started</t>
        </is>
      </c>
      <c r="F28" s="17" t="inlineStr"/>
    </row>
    <row r="29" ht="30" customHeight="1">
      <c r="A29" s="13" t="inlineStr">
        <is>
          <t>OOP</t>
        </is>
      </c>
      <c r="B29" s="13" t="inlineStr">
        <is>
          <t>Explain Liskov Substitution Principle with a code example</t>
        </is>
      </c>
      <c r="C29" s="13" t="inlineStr">
        <is>
          <t>Medium</t>
        </is>
      </c>
      <c r="D29" s="13" t="inlineStr">
        <is>
          <t>Microsoft, Amazon</t>
        </is>
      </c>
      <c r="E29" s="13" t="inlineStr">
        <is>
          <t>Not Started</t>
        </is>
      </c>
      <c r="F29" s="13" t="inlineStr"/>
    </row>
    <row r="30" ht="30" customHeight="1">
      <c r="A30" s="17" t="inlineStr">
        <is>
          <t>OOP</t>
        </is>
      </c>
      <c r="B30" s="17" t="inlineStr">
        <is>
          <t>Composition vs Inheritance — when do you favor each?</t>
        </is>
      </c>
      <c r="C30" s="17" t="inlineStr">
        <is>
          <t>Easy</t>
        </is>
      </c>
      <c r="D30" s="17" t="inlineStr">
        <is>
          <t>Meta</t>
        </is>
      </c>
      <c r="E30" s="17" t="inlineStr">
        <is>
          <t>Not Started</t>
        </is>
      </c>
      <c r="F30" s="17" t="inlineStr"/>
    </row>
    <row r="31" ht="30" customHeight="1">
      <c r="A31" s="13" t="inlineStr">
        <is>
          <t>OOP</t>
        </is>
      </c>
      <c r="B31" s="13" t="inlineStr">
        <is>
          <t>Design a parking lot system — classes, relationships, edge cases</t>
        </is>
      </c>
      <c r="C31" s="13" t="inlineStr">
        <is>
          <t>Hard</t>
        </is>
      </c>
      <c r="D31" s="13" t="inlineStr">
        <is>
          <t>Amazon, Google</t>
        </is>
      </c>
      <c r="E31" s="13" t="inlineStr">
        <is>
          <t>Not Started</t>
        </is>
      </c>
      <c r="F31" s="13" t="inlineStr"/>
    </row>
    <row r="32" ht="30" customHeight="1">
      <c r="A32" s="17" t="inlineStr">
        <is>
          <t>OOP</t>
        </is>
      </c>
      <c r="B32" s="17" t="inlineStr">
        <is>
          <t>Explain the Dependency Inversion Principle and how Dependency Injection enables it</t>
        </is>
      </c>
      <c r="C32" s="17" t="inlineStr">
        <is>
          <t>Medium</t>
        </is>
      </c>
      <c r="D32" s="17" t="inlineStr">
        <is>
          <t>Google, Spotify</t>
        </is>
      </c>
      <c r="E32" s="17" t="inlineStr">
        <is>
          <t>Not Started</t>
        </is>
      </c>
      <c r="F32" s="17" t="inlineStr"/>
    </row>
    <row r="33" ht="30" customHeight="1">
      <c r="A33" s="13" t="inlineStr">
        <is>
          <t>OOP</t>
        </is>
      </c>
      <c r="B33" s="13" t="inlineStr">
        <is>
          <t>Design a thread-safe Singleton class in Python using double-checked locking</t>
        </is>
      </c>
      <c r="C33" s="13" t="inlineStr">
        <is>
          <t>Medium</t>
        </is>
      </c>
      <c r="D33" s="13" t="inlineStr">
        <is>
          <t>Uber, Goldman Sachs</t>
        </is>
      </c>
      <c r="E33" s="13" t="inlineStr">
        <is>
          <t>Not Started</t>
        </is>
      </c>
      <c r="F33" s="13" t="inlineStr"/>
    </row>
    <row r="34" ht="30" customHeight="1">
      <c r="A34" s="17" t="inlineStr">
        <is>
          <t>OS</t>
        </is>
      </c>
      <c r="B34" s="17" t="inlineStr">
        <is>
          <t>Explain context switch and its cost</t>
        </is>
      </c>
      <c r="C34" s="17" t="inlineStr">
        <is>
          <t>Medium</t>
        </is>
      </c>
      <c r="D34" s="17" t="inlineStr">
        <is>
          <t>Google, Apple</t>
        </is>
      </c>
      <c r="E34" s="17" t="inlineStr">
        <is>
          <t>Not Started</t>
        </is>
      </c>
      <c r="F34" s="17" t="inlineStr"/>
    </row>
    <row r="35" ht="30" customHeight="1">
      <c r="A35" s="13" t="inlineStr">
        <is>
          <t>OS</t>
        </is>
      </c>
      <c r="B35" s="13" t="inlineStr">
        <is>
          <t>What is a deadlock? Show four conditions and a prevention strategy</t>
        </is>
      </c>
      <c r="C35" s="13" t="inlineStr">
        <is>
          <t>Medium</t>
        </is>
      </c>
      <c r="D35" s="13" t="inlineStr">
        <is>
          <t>Microsoft, Amazon</t>
        </is>
      </c>
      <c r="E35" s="13" t="inlineStr">
        <is>
          <t>Not Started</t>
        </is>
      </c>
      <c r="F35" s="13" t="inlineStr"/>
    </row>
    <row r="36" ht="30" customHeight="1">
      <c r="A36" s="17" t="inlineStr">
        <is>
          <t>OS</t>
        </is>
      </c>
      <c r="B36" s="17" t="inlineStr">
        <is>
          <t>Difference between mmap and read() for file I/O</t>
        </is>
      </c>
      <c r="C36" s="17" t="inlineStr">
        <is>
          <t>Hard</t>
        </is>
      </c>
      <c r="D36" s="17" t="inlineStr">
        <is>
          <t>Meta, Netflix</t>
        </is>
      </c>
      <c r="E36" s="17" t="inlineStr">
        <is>
          <t>Not Started</t>
        </is>
      </c>
      <c r="F36" s="17" t="inlineStr"/>
    </row>
    <row r="37" ht="30" customHeight="1">
      <c r="A37" s="13" t="inlineStr">
        <is>
          <t>OS</t>
        </is>
      </c>
      <c r="B37" s="13" t="inlineStr">
        <is>
          <t>Explain virtual memory paging and why page thrashing happens</t>
        </is>
      </c>
      <c r="C37" s="13" t="inlineStr">
        <is>
          <t>Medium</t>
        </is>
      </c>
      <c r="D37" s="13" t="inlineStr">
        <is>
          <t>Apple, NVIDIA</t>
        </is>
      </c>
      <c r="E37" s="13" t="inlineStr">
        <is>
          <t>Not Started</t>
        </is>
      </c>
      <c r="F37" s="13" t="inlineStr"/>
    </row>
    <row r="38" ht="30" customHeight="1">
      <c r="A38" s="17" t="inlineStr">
        <is>
          <t>OS</t>
        </is>
      </c>
      <c r="B38" s="17" t="inlineStr">
        <is>
          <t>What is the difference between a process and a thread in memory allocations?</t>
        </is>
      </c>
      <c r="C38" s="17" t="inlineStr">
        <is>
          <t>Easy</t>
        </is>
      </c>
      <c r="D38" s="17" t="inlineStr">
        <is>
          <t>All Tech</t>
        </is>
      </c>
      <c r="E38" s="17" t="inlineStr">
        <is>
          <t>Not Started</t>
        </is>
      </c>
      <c r="F38" s="17" t="inlineStr"/>
    </row>
    <row r="39" ht="30" customHeight="1">
      <c r="A39" s="13" t="inlineStr">
        <is>
          <t>DBMS</t>
        </is>
      </c>
      <c r="B39" s="13" t="inlineStr">
        <is>
          <t>What does ACID mean? Explain the trade-offs of each property in detail</t>
        </is>
      </c>
      <c r="C39" s="13" t="inlineStr">
        <is>
          <t>Medium</t>
        </is>
      </c>
      <c r="D39" s="13" t="inlineStr">
        <is>
          <t>Stripe, Oracle</t>
        </is>
      </c>
      <c r="E39" s="13" t="inlineStr">
        <is>
          <t>Not Started</t>
        </is>
      </c>
      <c r="F39" s="13" t="inlineStr"/>
    </row>
    <row r="40" ht="30" customHeight="1">
      <c r="A40" s="17" t="inlineStr">
        <is>
          <t>DBMS</t>
        </is>
      </c>
      <c r="B40" s="17" t="inlineStr">
        <is>
          <t>Explain MVCC (Multi-Version Concurrency Control) and how database engines avoid lock contentions</t>
        </is>
      </c>
      <c r="C40" s="17" t="inlineStr">
        <is>
          <t>Hard</t>
        </is>
      </c>
      <c r="D40" s="17" t="inlineStr">
        <is>
          <t>CockroachDB, Amazon</t>
        </is>
      </c>
      <c r="E40" s="17" t="inlineStr">
        <is>
          <t>Not Started</t>
        </is>
      </c>
      <c r="F40" s="17" t="inlineStr"/>
    </row>
    <row r="41" ht="30" customHeight="1">
      <c r="A41" s="13" t="inlineStr">
        <is>
          <t>DBMS</t>
        </is>
      </c>
      <c r="B41" s="13" t="inlineStr">
        <is>
          <t>Compare optimistic vs pessimistic locking and outline use cases for each</t>
        </is>
      </c>
      <c r="C41" s="13" t="inlineStr">
        <is>
          <t>Medium</t>
        </is>
      </c>
      <c r="D41" s="13" t="inlineStr">
        <is>
          <t>Stripe, Uber</t>
        </is>
      </c>
      <c r="E41" s="13" t="inlineStr">
        <is>
          <t>Not Started</t>
        </is>
      </c>
      <c r="F41" s="13" t="inlineStr"/>
    </row>
    <row r="42" ht="30" customHeight="1">
      <c r="A42" s="17" t="inlineStr">
        <is>
          <t>DBMS</t>
        </is>
      </c>
      <c r="B42" s="17" t="inlineStr">
        <is>
          <t>Explain horizontal partitioning (sharding) vs vertical partitioning and how to route queries</t>
        </is>
      </c>
      <c r="C42" s="17" t="inlineStr">
        <is>
          <t>Hard</t>
        </is>
      </c>
      <c r="D42" s="17" t="inlineStr">
        <is>
          <t>Databricks, Google</t>
        </is>
      </c>
      <c r="E42" s="17" t="inlineStr">
        <is>
          <t>Not Started</t>
        </is>
      </c>
      <c r="F42" s="17" t="inlineStr"/>
    </row>
    <row r="43" ht="30" customHeight="1">
      <c r="A43" s="13" t="inlineStr">
        <is>
          <t>System Design</t>
        </is>
      </c>
      <c r="B43" s="13" t="inlineStr">
        <is>
          <t>Design a URL shortener like Bitly (focus on database choice and base62 collision handling)</t>
        </is>
      </c>
      <c r="C43" s="13" t="inlineStr">
        <is>
          <t>Medium</t>
        </is>
      </c>
      <c r="D43" s="13" t="inlineStr">
        <is>
          <t>Twitter, Google</t>
        </is>
      </c>
      <c r="E43" s="13" t="inlineStr">
        <is>
          <t>Not Started</t>
        </is>
      </c>
      <c r="F43" s="13" t="inlineStr"/>
    </row>
    <row r="44" ht="30" customHeight="1">
      <c r="A44" s="17" t="inlineStr">
        <is>
          <t>System Design</t>
        </is>
      </c>
      <c r="B44" s="17" t="inlineStr">
        <is>
          <t>Design a real-time messaging app like Slack/WhatsApp (websockets vs polling, connection managers)</t>
        </is>
      </c>
      <c r="C44" s="17" t="inlineStr">
        <is>
          <t>Hard</t>
        </is>
      </c>
      <c r="D44" s="17" t="inlineStr">
        <is>
          <t>Meta, Telegram</t>
        </is>
      </c>
      <c r="E44" s="17" t="inlineStr">
        <is>
          <t>Not Started</t>
        </is>
      </c>
      <c r="F44" s="17" t="inlineStr"/>
    </row>
    <row r="45" ht="30" customHeight="1">
      <c r="A45" s="13" t="inlineStr">
        <is>
          <t>System Design</t>
        </is>
      </c>
      <c r="B45" s="13" t="inlineStr">
        <is>
          <t>Design an API rate limiter (token bucket, leaky bucket, redis sliding window configurations)</t>
        </is>
      </c>
      <c r="C45" s="13" t="inlineStr">
        <is>
          <t>Hard</t>
        </is>
      </c>
      <c r="D45" s="13" t="inlineStr">
        <is>
          <t>Stripe, Cloudflare</t>
        </is>
      </c>
      <c r="E45" s="13" t="inlineStr">
        <is>
          <t>Not Started</t>
        </is>
      </c>
      <c r="F45" s="13" t="inlineStr"/>
    </row>
    <row r="46" ht="30" customHeight="1">
      <c r="A46" s="17" t="inlineStr">
        <is>
          <t>System Design</t>
        </is>
      </c>
      <c r="B46" s="17" t="inlineStr">
        <is>
          <t>Explain consistent hashing rings and how they scale distributed storage clusters</t>
        </is>
      </c>
      <c r="C46" s="17" t="inlineStr">
        <is>
          <t>Hard</t>
        </is>
      </c>
      <c r="D46" s="17" t="inlineStr">
        <is>
          <t>Amazon, Netflix</t>
        </is>
      </c>
      <c r="E46" s="17" t="inlineStr">
        <is>
          <t>Not Started</t>
        </is>
      </c>
      <c r="F46" s="17" t="inlineStr"/>
    </row>
    <row r="47" ht="30" customHeight="1">
      <c r="A47" s="13" t="inlineStr">
        <is>
          <t>System Design</t>
        </is>
      </c>
      <c r="B47" s="13" t="inlineStr">
        <is>
          <t>Design a content delivery network (CDN) caching strategy and invalidation mechanisms</t>
        </is>
      </c>
      <c r="C47" s="13" t="inlineStr">
        <is>
          <t>Medium</t>
        </is>
      </c>
      <c r="D47" s="13" t="inlineStr">
        <is>
          <t>Fastly, Akamai</t>
        </is>
      </c>
      <c r="E47" s="13" t="inlineStr">
        <is>
          <t>Not Started</t>
        </is>
      </c>
      <c r="F47" s="13" t="inlineStr"/>
    </row>
    <row r="48" ht="30" customHeight="1">
      <c r="A48" s="17" t="inlineStr">
        <is>
          <t>System Design</t>
        </is>
      </c>
      <c r="B48" s="17" t="inlineStr">
        <is>
          <t>Compare WebSockets, Long Polling, and Server-Sent Events (SSE) with performance metrics</t>
        </is>
      </c>
      <c r="C48" s="17" t="inlineStr">
        <is>
          <t>Medium</t>
        </is>
      </c>
      <c r="D48" s="17" t="inlineStr">
        <is>
          <t>Twitch, Zoom</t>
        </is>
      </c>
      <c r="E48" s="17" t="inlineStr">
        <is>
          <t>Not Started</t>
        </is>
      </c>
      <c r="F48" s="17" t="inlineStr"/>
    </row>
    <row r="49" ht="30" customHeight="1">
      <c r="A49" s="13" t="inlineStr">
        <is>
          <t>AI/ML</t>
        </is>
      </c>
      <c r="B49" s="13" t="inlineStr">
        <is>
          <t>Explain the self-attention mechanism mathematically inside Transformer blocks</t>
        </is>
      </c>
      <c r="C49" s="13" t="inlineStr">
        <is>
          <t>Hard</t>
        </is>
      </c>
      <c r="D49" s="13" t="inlineStr">
        <is>
          <t>OpenAI, Anthropic</t>
        </is>
      </c>
      <c r="E49" s="13" t="inlineStr">
        <is>
          <t>Not Started</t>
        </is>
      </c>
      <c r="F49" s="13" t="inlineStr"/>
    </row>
    <row r="50" ht="30" customHeight="1">
      <c r="A50" s="17" t="inlineStr">
        <is>
          <t>AI/ML</t>
        </is>
      </c>
      <c r="B50" s="17" t="inlineStr">
        <is>
          <t>What is the structural difference between BERT (encoder-only) and GPT (decoder-only) architectures?</t>
        </is>
      </c>
      <c r="C50" s="17" t="inlineStr">
        <is>
          <t>Hard</t>
        </is>
      </c>
      <c r="D50" s="17" t="inlineStr">
        <is>
          <t>Google, Cohere</t>
        </is>
      </c>
      <c r="E50" s="17" t="inlineStr">
        <is>
          <t>Not Started</t>
        </is>
      </c>
      <c r="F50" s="17" t="inlineStr"/>
    </row>
    <row r="51" ht="30" customHeight="1">
      <c r="A51" s="13" t="inlineStr">
        <is>
          <t>AI/ML</t>
        </is>
      </c>
      <c r="B51" s="13" t="inlineStr">
        <is>
          <t>How does semantic chunking differ from simple recursive chunking in RAG pipelines?</t>
        </is>
      </c>
      <c r="C51" s="13" t="inlineStr">
        <is>
          <t>Medium</t>
        </is>
      </c>
      <c r="D51" s="13" t="inlineStr">
        <is>
          <t>Pinecone, LangChain</t>
        </is>
      </c>
      <c r="E51" s="13" t="inlineStr">
        <is>
          <t>Not Started</t>
        </is>
      </c>
      <c r="F51" s="13" t="inlineStr"/>
    </row>
    <row r="52" ht="30" customHeight="1">
      <c r="A52" s="17" t="inlineStr">
        <is>
          <t>AI/ML</t>
        </is>
      </c>
      <c r="B52" s="17" t="inlineStr">
        <is>
          <t>What are embeddings and why is cosine similarity preferred over Euclidean distance in high-dimensions?</t>
        </is>
      </c>
      <c r="C52" s="17" t="inlineStr">
        <is>
          <t>Easy</t>
        </is>
      </c>
      <c r="D52" s="17" t="inlineStr">
        <is>
          <t>OpenAI, Qdrant</t>
        </is>
      </c>
      <c r="E52" s="17" t="inlineStr">
        <is>
          <t>Not Started</t>
        </is>
      </c>
      <c r="F52" s="17" t="inlineStr"/>
    </row>
    <row r="53" ht="30" customHeight="1">
      <c r="A53" s="13" t="inlineStr">
        <is>
          <t>AI/ML</t>
        </is>
      </c>
      <c r="B53" s="13" t="inlineStr">
        <is>
          <t>Explain how RAGAS evaluations measure faithfulness and answer relevance in generation loops</t>
        </is>
      </c>
      <c r="C53" s="13" t="inlineStr">
        <is>
          <t>Medium</t>
        </is>
      </c>
      <c r="D53" s="13" t="inlineStr">
        <is>
          <t>HuggingFace, LlamaIndex</t>
        </is>
      </c>
      <c r="E53" s="13" t="inlineStr">
        <is>
          <t>Not Started</t>
        </is>
      </c>
      <c r="F53" s="13" t="inlineStr"/>
    </row>
    <row r="54" ht="30" customHeight="1">
      <c r="A54" s="17" t="inlineStr">
        <is>
          <t>AI/ML</t>
        </is>
      </c>
      <c r="B54" s="17" t="inlineStr">
        <is>
          <t>What are Multi-Agent topologies and how does LangGraph handle agent loops using state checkpointers?</t>
        </is>
      </c>
      <c r="C54" s="17" t="inlineStr">
        <is>
          <t>Hard</t>
        </is>
      </c>
      <c r="D54" s="17" t="inlineStr">
        <is>
          <t>LangChain, Microsoft</t>
        </is>
      </c>
      <c r="E54" s="17" t="inlineStr">
        <is>
          <t>Not Started</t>
        </is>
      </c>
      <c r="F54" s="17" t="inlineStr"/>
    </row>
    <row r="55" ht="30" customHeight="1">
      <c r="A55" s="13" t="inlineStr">
        <is>
          <t>Behavioral</t>
        </is>
      </c>
      <c r="B55" s="13" t="inlineStr">
        <is>
          <t>Tell me about a time you resolved a complex, critical production bug under intense time pressure</t>
        </is>
      </c>
      <c r="C55" s="13" t="inlineStr">
        <is>
          <t>Easy</t>
        </is>
      </c>
      <c r="D55" s="13" t="inlineStr">
        <is>
          <t>All Tech</t>
        </is>
      </c>
      <c r="E55" s="13" t="inlineStr">
        <is>
          <t>Not Started</t>
        </is>
      </c>
      <c r="F55" s="13" t="inlineStr"/>
    </row>
    <row r="56" ht="30" customHeight="1">
      <c r="A56" s="17" t="inlineStr">
        <is>
          <t>Behavioral</t>
        </is>
      </c>
      <c r="B56" s="17" t="inlineStr">
        <is>
          <t>Describe a technical disagreement you had with a senior developer and how you reached a consensus</t>
        </is>
      </c>
      <c r="C56" s="17" t="inlineStr">
        <is>
          <t>Easy</t>
        </is>
      </c>
      <c r="D56" s="17" t="inlineStr">
        <is>
          <t>All Tech</t>
        </is>
      </c>
      <c r="E56" s="17" t="inlineStr">
        <is>
          <t>Not Started</t>
        </is>
      </c>
      <c r="F56" s="17" t="inlineStr"/>
    </row>
    <row r="57" ht="30" customHeight="1">
      <c r="A57" s="13" t="inlineStr">
        <is>
          <t>Behavioral</t>
        </is>
      </c>
      <c r="B57" s="13" t="inlineStr">
        <is>
          <t>Tell me about a project that had highly ambiguous requirements and how you structured the scope</t>
        </is>
      </c>
      <c r="C57" s="13" t="inlineStr">
        <is>
          <t>Easy</t>
        </is>
      </c>
      <c r="D57" s="13" t="inlineStr">
        <is>
          <t>All Tech</t>
        </is>
      </c>
      <c r="E57" s="13" t="inlineStr">
        <is>
          <t>Not Started</t>
        </is>
      </c>
      <c r="F57" s="13" t="inlineStr"/>
    </row>
    <row r="58" ht="30" customHeight="1">
      <c r="A58" s="17" t="inlineStr">
        <is>
          <t>Behavioral</t>
        </is>
      </c>
      <c r="B58" s="17" t="inlineStr">
        <is>
          <t>Describe a major technical failure in a project you built and the recovery analysis steps taken</t>
        </is>
      </c>
      <c r="C58" s="17" t="inlineStr">
        <is>
          <t>Easy</t>
        </is>
      </c>
      <c r="D58" s="17" t="inlineStr">
        <is>
          <t>All Tech</t>
        </is>
      </c>
      <c r="E58" s="17" t="inlineStr">
        <is>
          <t>Not Started</t>
        </is>
      </c>
      <c r="F58" s="17" t="inlineStr"/>
    </row>
    <row r="59" ht="30" customHeight="1">
      <c r="A59" s="13" t="inlineStr">
        <is>
          <t>Behavioral</t>
        </is>
      </c>
      <c r="B59" s="13" t="inlineStr">
        <is>
          <t>Why are you looking to become an AI Software Engineer specifically, and what drives you in this field?</t>
        </is>
      </c>
      <c r="C59" s="13" t="inlineStr">
        <is>
          <t>Easy</t>
        </is>
      </c>
      <c r="D59" s="13" t="inlineStr">
        <is>
          <t>All Tech</t>
        </is>
      </c>
      <c r="E59" s="13" t="inlineStr">
        <is>
          <t>Not Started</t>
        </is>
      </c>
      <c r="F59" s="13" t="inlineStr"/>
    </row>
  </sheetData>
  <autoFilter ref="A4:F59"/>
  <mergeCells count="2">
    <mergeCell ref="A2:F2"/>
    <mergeCell ref="A1:F1"/>
  </mergeCells>
  <conditionalFormatting sqref="C5:C59">
    <cfRule type="cellIs" priority="1" operator="equal" dxfId="2">
      <formula>"Easy"</formula>
    </cfRule>
    <cfRule type="cellIs" priority="2" operator="equal" dxfId="1">
      <formula>"Medium"</formula>
    </cfRule>
    <cfRule type="cellIs" priority="3" operator="equal" dxfId="3">
      <formula>"Hard"</formula>
    </cfRule>
  </conditionalFormatting>
  <conditionalFormatting sqref="E5:E59">
    <cfRule type="cellIs" priority="4" operator="equal" dxfId="0">
      <formula>"Not Started"</formula>
    </cfRule>
    <cfRule type="cellIs" priority="5" operator="equal" dxfId="1">
      <formula>"In Progress"</formula>
    </cfRule>
    <cfRule type="cellIs" priority="6" operator="equal" dxfId="2">
      <formula>"Complete"</formula>
    </cfRule>
    <cfRule type="cellIs" priority="7" operator="equal" dxfId="2">
      <formula>"Done"</formula>
    </cfRule>
    <cfRule type="cellIs" priority="8" operator="equal" dxfId="3">
      <formula>"Blocked"</formula>
    </cfRule>
    <cfRule type="cellIs" priority="9" operator="equal" dxfId="4">
      <formula>"Skipped"</formula>
    </cfRule>
  </conditionalFormatting>
  <dataValidations count="1">
    <dataValidation sqref="E5:E59" showDropDown="0" showInputMessage="0" showErrorMessage="0" allowBlank="1" type="list">
      <formula1>"Not Started,In Progress,Complete,Blocked,Skipped"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12" customWidth="1" min="4" max="4"/>
    <col width="28" customWidth="1" min="5" max="5"/>
    <col width="45" customWidth="1" min="6" max="6"/>
    <col width="15" customWidth="1" min="7" max="7"/>
    <col width="14" customWidth="1" min="8" max="8"/>
    <col width="30" customWidth="1" min="9" max="9"/>
  </cols>
  <sheetData>
    <row r="1" ht="36" customHeight="1">
      <c r="A1" s="1" t="inlineStr">
        <is>
          <t>LeetCode Problems Tracker</t>
        </is>
      </c>
    </row>
    <row r="2" ht="20" customHeight="1">
      <c r="A2" s="2" t="inlineStr">
        <is>
          <t>130+ LeetCode problems aligned week-by-week with your curriculum patterns</t>
        </is>
      </c>
    </row>
    <row r="4" ht="32" customHeight="1">
      <c r="A4" s="12" t="inlineStr">
        <is>
          <t>Week #</t>
        </is>
      </c>
      <c r="B4" s="12" t="inlineStr">
        <is>
          <t>Problem #</t>
        </is>
      </c>
      <c r="C4" s="12" t="inlineStr">
        <is>
          <t>Problem Title</t>
        </is>
      </c>
      <c r="D4" s="12" t="inlineStr">
        <is>
          <t>Difficulty</t>
        </is>
      </c>
      <c r="E4" s="12" t="inlineStr">
        <is>
          <t>Pattern / Category</t>
        </is>
      </c>
      <c r="F4" s="12" t="inlineStr">
        <is>
          <t>URL</t>
        </is>
      </c>
      <c r="G4" s="12" t="inlineStr">
        <is>
          <t>Status</t>
        </is>
      </c>
      <c r="H4" s="12" t="inlineStr">
        <is>
          <t>Date Solved</t>
        </is>
      </c>
      <c r="I4" s="12" t="inlineStr">
        <is>
          <t>Notes</t>
        </is>
      </c>
    </row>
    <row r="5" ht="30" customHeight="1">
      <c r="A5" s="13" t="n">
        <v>1</v>
      </c>
      <c r="B5" s="13" t="n">
        <v>1</v>
      </c>
      <c r="C5" s="13" t="inlineStr">
        <is>
          <t>Two Sum</t>
        </is>
      </c>
      <c r="D5" s="13" t="inlineStr">
        <is>
          <t>Easy</t>
        </is>
      </c>
      <c r="E5" s="13" t="inlineStr">
        <is>
          <t>Arrays &amp; Hash Map</t>
        </is>
      </c>
      <c r="F5" s="13" t="inlineStr">
        <is>
          <t>https://leetcode.com/problems/two-sum/</t>
        </is>
      </c>
      <c r="G5" s="13" t="inlineStr">
        <is>
          <t>Not Started</t>
        </is>
      </c>
      <c r="H5" s="22" t="n"/>
      <c r="I5" s="13" t="inlineStr"/>
    </row>
    <row r="6" ht="30" customHeight="1">
      <c r="A6" s="17" t="n">
        <v>1</v>
      </c>
      <c r="B6" s="17" t="n">
        <v>9</v>
      </c>
      <c r="C6" s="17" t="inlineStr">
        <is>
          <t>Palindrome Number</t>
        </is>
      </c>
      <c r="D6" s="17" t="inlineStr">
        <is>
          <t>Easy</t>
        </is>
      </c>
      <c r="E6" s="17" t="inlineStr">
        <is>
          <t>Math</t>
        </is>
      </c>
      <c r="F6" s="17" t="inlineStr">
        <is>
          <t>https://leetcode.com/problems/palindrome-number/</t>
        </is>
      </c>
      <c r="G6" s="17" t="inlineStr">
        <is>
          <t>Not Started</t>
        </is>
      </c>
      <c r="H6" s="23" t="n"/>
      <c r="I6" s="17" t="inlineStr"/>
    </row>
    <row r="7" ht="30" customHeight="1">
      <c r="A7" s="13" t="n">
        <v>1</v>
      </c>
      <c r="B7" s="13" t="n">
        <v>13</v>
      </c>
      <c r="C7" s="13" t="inlineStr">
        <is>
          <t>Roman to Integer</t>
        </is>
      </c>
      <c r="D7" s="13" t="inlineStr">
        <is>
          <t>Easy</t>
        </is>
      </c>
      <c r="E7" s="13" t="inlineStr">
        <is>
          <t>Strings &amp; Hash Map</t>
        </is>
      </c>
      <c r="F7" s="13" t="inlineStr">
        <is>
          <t>https://leetcode.com/problems/roman-to-integer/</t>
        </is>
      </c>
      <c r="G7" s="13" t="inlineStr">
        <is>
          <t>Not Started</t>
        </is>
      </c>
      <c r="H7" s="22" t="n"/>
      <c r="I7" s="13" t="inlineStr"/>
    </row>
    <row r="8" ht="30" customHeight="1">
      <c r="A8" s="17" t="n">
        <v>1</v>
      </c>
      <c r="B8" s="17" t="n">
        <v>14</v>
      </c>
      <c r="C8" s="17" t="inlineStr">
        <is>
          <t>Longest Common Prefix</t>
        </is>
      </c>
      <c r="D8" s="17" t="inlineStr">
        <is>
          <t>Easy</t>
        </is>
      </c>
      <c r="E8" s="17" t="inlineStr">
        <is>
          <t>Strings</t>
        </is>
      </c>
      <c r="F8" s="17" t="inlineStr">
        <is>
          <t>https://leetcode.com/problems/longest-common-prefix/</t>
        </is>
      </c>
      <c r="G8" s="17" t="inlineStr">
        <is>
          <t>Not Started</t>
        </is>
      </c>
      <c r="H8" s="23" t="n"/>
      <c r="I8" s="17" t="inlineStr"/>
    </row>
    <row r="9" ht="30" customHeight="1">
      <c r="A9" s="13" t="n">
        <v>1</v>
      </c>
      <c r="B9" s="13" t="n">
        <v>20</v>
      </c>
      <c r="C9" s="13" t="inlineStr">
        <is>
          <t>Valid Parentheses</t>
        </is>
      </c>
      <c r="D9" s="13" t="inlineStr">
        <is>
          <t>Easy</t>
        </is>
      </c>
      <c r="E9" s="13" t="inlineStr">
        <is>
          <t>Stack &amp; Strings</t>
        </is>
      </c>
      <c r="F9" s="13" t="inlineStr">
        <is>
          <t>https://leetcode.com/problems/valid-parentheses/</t>
        </is>
      </c>
      <c r="G9" s="13" t="inlineStr">
        <is>
          <t>Not Started</t>
        </is>
      </c>
      <c r="H9" s="22" t="n"/>
      <c r="I9" s="13" t="inlineStr"/>
    </row>
    <row r="10" ht="30" customHeight="1">
      <c r="A10" s="17" t="n">
        <v>1</v>
      </c>
      <c r="B10" s="17" t="n">
        <v>66</v>
      </c>
      <c r="C10" s="17" t="inlineStr">
        <is>
          <t>Plus One</t>
        </is>
      </c>
      <c r="D10" s="17" t="inlineStr">
        <is>
          <t>Easy</t>
        </is>
      </c>
      <c r="E10" s="17" t="inlineStr">
        <is>
          <t>Arrays &amp; Math</t>
        </is>
      </c>
      <c r="F10" s="17" t="inlineStr">
        <is>
          <t>https://leetcode.com/problems/plus-one/</t>
        </is>
      </c>
      <c r="G10" s="17" t="inlineStr">
        <is>
          <t>Not Started</t>
        </is>
      </c>
      <c r="H10" s="23" t="n"/>
      <c r="I10" s="17" t="inlineStr"/>
    </row>
    <row r="11" ht="30" customHeight="1">
      <c r="A11" s="13" t="n">
        <v>1</v>
      </c>
      <c r="B11" s="13" t="n">
        <v>67</v>
      </c>
      <c r="C11" s="13" t="inlineStr">
        <is>
          <t>Add Binary</t>
        </is>
      </c>
      <c r="D11" s="13" t="inlineStr">
        <is>
          <t>Easy</t>
        </is>
      </c>
      <c r="E11" s="13" t="inlineStr">
        <is>
          <t>Strings &amp; Math</t>
        </is>
      </c>
      <c r="F11" s="13" t="inlineStr">
        <is>
          <t>https://leetcode.com/problems/add-binary/</t>
        </is>
      </c>
      <c r="G11" s="13" t="inlineStr">
        <is>
          <t>Not Started</t>
        </is>
      </c>
      <c r="H11" s="22" t="n"/>
      <c r="I11" s="13" t="inlineStr"/>
    </row>
    <row r="12" ht="30" customHeight="1">
      <c r="A12" s="17" t="n">
        <v>1</v>
      </c>
      <c r="B12" s="17" t="n">
        <v>83</v>
      </c>
      <c r="C12" s="17" t="inlineStr">
        <is>
          <t>Remove Duplicates from Sorted List</t>
        </is>
      </c>
      <c r="D12" s="17" t="inlineStr">
        <is>
          <t>Easy</t>
        </is>
      </c>
      <c r="E12" s="17" t="inlineStr">
        <is>
          <t>Linked List</t>
        </is>
      </c>
      <c r="F12" s="17" t="inlineStr">
        <is>
          <t>https://leetcode.com/problems/remove-duplicates-from-sorted-list/</t>
        </is>
      </c>
      <c r="G12" s="17" t="inlineStr">
        <is>
          <t>Not Started</t>
        </is>
      </c>
      <c r="H12" s="23" t="n"/>
      <c r="I12" s="17" t="inlineStr"/>
    </row>
    <row r="13" ht="30" customHeight="1">
      <c r="A13" s="13" t="n">
        <v>1</v>
      </c>
      <c r="B13" s="13" t="n">
        <v>88</v>
      </c>
      <c r="C13" s="13" t="inlineStr">
        <is>
          <t>Merge Sorted Array</t>
        </is>
      </c>
      <c r="D13" s="13" t="inlineStr">
        <is>
          <t>Easy</t>
        </is>
      </c>
      <c r="E13" s="13" t="inlineStr">
        <is>
          <t>Arrays &amp; Two Pointers</t>
        </is>
      </c>
      <c r="F13" s="13" t="inlineStr">
        <is>
          <t>https://leetcode.com/problems/merge-sorted-array/</t>
        </is>
      </c>
      <c r="G13" s="13" t="inlineStr">
        <is>
          <t>Not Started</t>
        </is>
      </c>
      <c r="H13" s="22" t="n"/>
      <c r="I13" s="13" t="inlineStr"/>
    </row>
    <row r="14" ht="30" customHeight="1">
      <c r="A14" s="17" t="n">
        <v>1</v>
      </c>
      <c r="B14" s="17" t="n">
        <v>118</v>
      </c>
      <c r="C14" s="17" t="inlineStr">
        <is>
          <t>Pascal's Triangle</t>
        </is>
      </c>
      <c r="D14" s="17" t="inlineStr">
        <is>
          <t>Easy</t>
        </is>
      </c>
      <c r="E14" s="17" t="inlineStr">
        <is>
          <t>Arrays &amp; DP</t>
        </is>
      </c>
      <c r="F14" s="17" t="inlineStr">
        <is>
          <t>https://leetcode.com/problems/pascals-triangle/</t>
        </is>
      </c>
      <c r="G14" s="17" t="inlineStr">
        <is>
          <t>Not Started</t>
        </is>
      </c>
      <c r="H14" s="23" t="n"/>
      <c r="I14" s="17" t="inlineStr"/>
    </row>
    <row r="15" ht="30" customHeight="1">
      <c r="A15" s="13" t="n">
        <v>2</v>
      </c>
      <c r="B15" s="13" t="n">
        <v>121</v>
      </c>
      <c r="C15" s="13" t="inlineStr">
        <is>
          <t>Best Time to Buy and Sell Stock</t>
        </is>
      </c>
      <c r="D15" s="13" t="inlineStr">
        <is>
          <t>Easy</t>
        </is>
      </c>
      <c r="E15" s="13" t="inlineStr">
        <is>
          <t>Arrays &amp; Sliding Window</t>
        </is>
      </c>
      <c r="F15" s="13" t="inlineStr">
        <is>
          <t>https://leetcode.com/problems/best-time-to-buy-and-sell-stock/</t>
        </is>
      </c>
      <c r="G15" s="13" t="inlineStr">
        <is>
          <t>Not Started</t>
        </is>
      </c>
      <c r="H15" s="22" t="n"/>
      <c r="I15" s="13" t="inlineStr"/>
    </row>
    <row r="16" ht="30" customHeight="1">
      <c r="A16" s="17" t="n">
        <v>2</v>
      </c>
      <c r="B16" s="17" t="n">
        <v>125</v>
      </c>
      <c r="C16" s="17" t="inlineStr">
        <is>
          <t>Valid Palindrome</t>
        </is>
      </c>
      <c r="D16" s="17" t="inlineStr">
        <is>
          <t>Easy</t>
        </is>
      </c>
      <c r="E16" s="17" t="inlineStr">
        <is>
          <t>Strings &amp; Two Pointers</t>
        </is>
      </c>
      <c r="F16" s="17" t="inlineStr">
        <is>
          <t>https://leetcode.com/problems/valid-palindrome/</t>
        </is>
      </c>
      <c r="G16" s="17" t="inlineStr">
        <is>
          <t>Not Started</t>
        </is>
      </c>
      <c r="H16" s="23" t="n"/>
      <c r="I16" s="17" t="inlineStr"/>
    </row>
    <row r="17" ht="30" customHeight="1">
      <c r="A17" s="13" t="n">
        <v>2</v>
      </c>
      <c r="B17" s="13" t="n">
        <v>167</v>
      </c>
      <c r="C17" s="13" t="inlineStr">
        <is>
          <t>Two Sum II</t>
        </is>
      </c>
      <c r="D17" s="13" t="inlineStr">
        <is>
          <t>Medium</t>
        </is>
      </c>
      <c r="E17" s="13" t="inlineStr">
        <is>
          <t>Arrays &amp; Two Pointers</t>
        </is>
      </c>
      <c r="F17" s="13" t="inlineStr">
        <is>
          <t>https://leetcode.com/problems/two-sum-ii/</t>
        </is>
      </c>
      <c r="G17" s="13" t="inlineStr">
        <is>
          <t>Not Started</t>
        </is>
      </c>
      <c r="H17" s="22" t="n"/>
      <c r="I17" s="13" t="inlineStr"/>
    </row>
    <row r="18" ht="30" customHeight="1">
      <c r="A18" s="17" t="n">
        <v>2</v>
      </c>
      <c r="B18" s="17" t="n">
        <v>169</v>
      </c>
      <c r="C18" s="17" t="inlineStr">
        <is>
          <t>Majority Element</t>
        </is>
      </c>
      <c r="D18" s="17" t="inlineStr">
        <is>
          <t>Easy</t>
        </is>
      </c>
      <c r="E18" s="17" t="inlineStr">
        <is>
          <t>Arrays</t>
        </is>
      </c>
      <c r="F18" s="17" t="inlineStr">
        <is>
          <t>https://leetcode.com/problems/majority-element/</t>
        </is>
      </c>
      <c r="G18" s="17" t="inlineStr">
        <is>
          <t>Not Started</t>
        </is>
      </c>
      <c r="H18" s="23" t="n"/>
      <c r="I18" s="17" t="inlineStr"/>
    </row>
    <row r="19" ht="30" customHeight="1">
      <c r="A19" s="13" t="n">
        <v>2</v>
      </c>
      <c r="B19" s="13" t="n">
        <v>217</v>
      </c>
      <c r="C19" s="13" t="inlineStr">
        <is>
          <t>Contains Duplicate</t>
        </is>
      </c>
      <c r="D19" s="13" t="inlineStr">
        <is>
          <t>Easy</t>
        </is>
      </c>
      <c r="E19" s="13" t="inlineStr">
        <is>
          <t>Arrays &amp; Hash Map</t>
        </is>
      </c>
      <c r="F19" s="13" t="inlineStr">
        <is>
          <t>https://leetcode.com/problems/contains-duplicate/</t>
        </is>
      </c>
      <c r="G19" s="13" t="inlineStr">
        <is>
          <t>Not Started</t>
        </is>
      </c>
      <c r="H19" s="22" t="n"/>
      <c r="I19" s="13" t="inlineStr"/>
    </row>
    <row r="20" ht="30" customHeight="1">
      <c r="A20" s="17" t="n">
        <v>2</v>
      </c>
      <c r="B20" s="17" t="n">
        <v>242</v>
      </c>
      <c r="C20" s="17" t="inlineStr">
        <is>
          <t>Valid Anagram</t>
        </is>
      </c>
      <c r="D20" s="17" t="inlineStr">
        <is>
          <t>Easy</t>
        </is>
      </c>
      <c r="E20" s="17" t="inlineStr">
        <is>
          <t>Strings &amp; Hash Map</t>
        </is>
      </c>
      <c r="F20" s="17" t="inlineStr">
        <is>
          <t>https://leetcode.com/problems/valid-anagram/</t>
        </is>
      </c>
      <c r="G20" s="17" t="inlineStr">
        <is>
          <t>Not Started</t>
        </is>
      </c>
      <c r="H20" s="23" t="n"/>
      <c r="I20" s="17" t="inlineStr"/>
    </row>
    <row r="21" ht="30" customHeight="1">
      <c r="A21" s="13" t="n">
        <v>2</v>
      </c>
      <c r="B21" s="13" t="n">
        <v>344</v>
      </c>
      <c r="C21" s="13" t="inlineStr">
        <is>
          <t>Reverse String</t>
        </is>
      </c>
      <c r="D21" s="13" t="inlineStr">
        <is>
          <t>Easy</t>
        </is>
      </c>
      <c r="E21" s="13" t="inlineStr">
        <is>
          <t>Strings &amp; Two Pointers</t>
        </is>
      </c>
      <c r="F21" s="13" t="inlineStr">
        <is>
          <t>https://leetcode.com/problems/reverse-string/</t>
        </is>
      </c>
      <c r="G21" s="13" t="inlineStr">
        <is>
          <t>Not Started</t>
        </is>
      </c>
      <c r="H21" s="22" t="n"/>
      <c r="I21" s="13" t="inlineStr"/>
    </row>
    <row r="22" ht="30" customHeight="1">
      <c r="A22" s="17" t="n">
        <v>2</v>
      </c>
      <c r="B22" s="17" t="n">
        <v>349</v>
      </c>
      <c r="C22" s="17" t="inlineStr">
        <is>
          <t>Intersection of Two Arrays</t>
        </is>
      </c>
      <c r="D22" s="17" t="inlineStr">
        <is>
          <t>Easy</t>
        </is>
      </c>
      <c r="E22" s="17" t="inlineStr">
        <is>
          <t>Arrays &amp; Hash Map</t>
        </is>
      </c>
      <c r="F22" s="17" t="inlineStr">
        <is>
          <t>https://leetcode.com/problems/intersection-of-two-arrays/</t>
        </is>
      </c>
      <c r="G22" s="17" t="inlineStr">
        <is>
          <t>Not Started</t>
        </is>
      </c>
      <c r="H22" s="23" t="n"/>
      <c r="I22" s="17" t="inlineStr"/>
    </row>
    <row r="23" ht="30" customHeight="1">
      <c r="A23" s="13" t="n">
        <v>2</v>
      </c>
      <c r="B23" s="13" t="n">
        <v>412</v>
      </c>
      <c r="C23" s="13" t="inlineStr">
        <is>
          <t>Fizz Buzz</t>
        </is>
      </c>
      <c r="D23" s="13" t="inlineStr">
        <is>
          <t>Easy</t>
        </is>
      </c>
      <c r="E23" s="13" t="inlineStr">
        <is>
          <t>Math</t>
        </is>
      </c>
      <c r="F23" s="13" t="inlineStr">
        <is>
          <t>https://leetcode.com/problems/fizz-buzz/</t>
        </is>
      </c>
      <c r="G23" s="13" t="inlineStr">
        <is>
          <t>Not Started</t>
        </is>
      </c>
      <c r="H23" s="22" t="n"/>
      <c r="I23" s="13" t="inlineStr"/>
    </row>
    <row r="24" ht="30" customHeight="1">
      <c r="A24" s="17" t="n">
        <v>2</v>
      </c>
      <c r="B24" s="17" t="n">
        <v>443</v>
      </c>
      <c r="C24" s="17" t="inlineStr">
        <is>
          <t>String Compression</t>
        </is>
      </c>
      <c r="D24" s="17" t="inlineStr">
        <is>
          <t>Medium</t>
        </is>
      </c>
      <c r="E24" s="17" t="inlineStr">
        <is>
          <t>Strings &amp; Two Pointers</t>
        </is>
      </c>
      <c r="F24" s="17" t="inlineStr">
        <is>
          <t>https://leetcode.com/problems/string-compression/</t>
        </is>
      </c>
      <c r="G24" s="17" t="inlineStr">
        <is>
          <t>Not Started</t>
        </is>
      </c>
      <c r="H24" s="23" t="n"/>
      <c r="I24" s="17" t="inlineStr"/>
    </row>
    <row r="25" ht="30" customHeight="1">
      <c r="A25" s="13" t="n">
        <v>2</v>
      </c>
      <c r="B25" s="13" t="n">
        <v>3</v>
      </c>
      <c r="C25" s="13" t="inlineStr">
        <is>
          <t>Longest Substring Without Repeating Characters</t>
        </is>
      </c>
      <c r="D25" s="13" t="inlineStr">
        <is>
          <t>Medium</t>
        </is>
      </c>
      <c r="E25" s="13" t="inlineStr">
        <is>
          <t>Strings &amp; Sliding Window</t>
        </is>
      </c>
      <c r="F25" s="13" t="inlineStr">
        <is>
          <t>https://leetcode.com/problems/longest-substring-without-repeating-characters/</t>
        </is>
      </c>
      <c r="G25" s="13" t="inlineStr">
        <is>
          <t>Not Started</t>
        </is>
      </c>
      <c r="H25" s="22" t="n"/>
      <c r="I25" s="13" t="inlineStr"/>
    </row>
    <row r="26" ht="30" customHeight="1">
      <c r="A26" s="17" t="n">
        <v>2</v>
      </c>
      <c r="B26" s="17" t="n">
        <v>11</v>
      </c>
      <c r="C26" s="17" t="inlineStr">
        <is>
          <t>Container With Most Water</t>
        </is>
      </c>
      <c r="D26" s="17" t="inlineStr">
        <is>
          <t>Medium</t>
        </is>
      </c>
      <c r="E26" s="17" t="inlineStr">
        <is>
          <t>Arrays &amp; Two Pointers</t>
        </is>
      </c>
      <c r="F26" s="17" t="inlineStr">
        <is>
          <t>https://leetcode.com/problems/container-with-most-water/</t>
        </is>
      </c>
      <c r="G26" s="17" t="inlineStr">
        <is>
          <t>Not Started</t>
        </is>
      </c>
      <c r="H26" s="23" t="n"/>
      <c r="I26" s="17" t="inlineStr"/>
    </row>
    <row r="27" ht="30" customHeight="1">
      <c r="A27" s="13" t="n">
        <v>2</v>
      </c>
      <c r="B27" s="13" t="n">
        <v>15</v>
      </c>
      <c r="C27" s="13" t="inlineStr">
        <is>
          <t>Three Sum</t>
        </is>
      </c>
      <c r="D27" s="13" t="inlineStr">
        <is>
          <t>Medium</t>
        </is>
      </c>
      <c r="E27" s="13" t="inlineStr">
        <is>
          <t>Arrays &amp; Two Pointers &amp; Sorting</t>
        </is>
      </c>
      <c r="F27" s="13" t="inlineStr">
        <is>
          <t>https://leetcode.com/problems/three-sum/</t>
        </is>
      </c>
      <c r="G27" s="13" t="inlineStr">
        <is>
          <t>Not Started</t>
        </is>
      </c>
      <c r="H27" s="22" t="n"/>
      <c r="I27" s="13" t="inlineStr"/>
    </row>
    <row r="28" ht="30" customHeight="1">
      <c r="A28" s="17" t="n">
        <v>2</v>
      </c>
      <c r="B28" s="17" t="n">
        <v>53</v>
      </c>
      <c r="C28" s="17" t="inlineStr">
        <is>
          <t>Maximum Subarray</t>
        </is>
      </c>
      <c r="D28" s="17" t="inlineStr">
        <is>
          <t>Medium</t>
        </is>
      </c>
      <c r="E28" s="17" t="inlineStr">
        <is>
          <t>Arrays &amp; DP</t>
        </is>
      </c>
      <c r="F28" s="17" t="inlineStr">
        <is>
          <t>https://leetcode.com/problems/maximum-subarray/</t>
        </is>
      </c>
      <c r="G28" s="17" t="inlineStr">
        <is>
          <t>Not Started</t>
        </is>
      </c>
      <c r="H28" s="23" t="n"/>
      <c r="I28" s="17" t="inlineStr"/>
    </row>
    <row r="29" ht="30" customHeight="1">
      <c r="A29" s="13" t="n">
        <v>2</v>
      </c>
      <c r="B29" s="13" t="n">
        <v>128</v>
      </c>
      <c r="C29" s="13" t="inlineStr">
        <is>
          <t>Longest Consecutive Sequence</t>
        </is>
      </c>
      <c r="D29" s="13" t="inlineStr">
        <is>
          <t>Medium</t>
        </is>
      </c>
      <c r="E29" s="13" t="inlineStr">
        <is>
          <t>Arrays &amp; Hash Map</t>
        </is>
      </c>
      <c r="F29" s="13" t="inlineStr">
        <is>
          <t>https://leetcode.com/problems/longest-consecutive-sequence/</t>
        </is>
      </c>
      <c r="G29" s="13" t="inlineStr">
        <is>
          <t>Not Started</t>
        </is>
      </c>
      <c r="H29" s="22" t="n"/>
      <c r="I29" s="13" t="inlineStr"/>
    </row>
    <row r="30" ht="30" customHeight="1">
      <c r="A30" s="17" t="n">
        <v>2</v>
      </c>
      <c r="B30" s="17" t="n">
        <v>49</v>
      </c>
      <c r="C30" s="17" t="inlineStr">
        <is>
          <t>Group Anagrams</t>
        </is>
      </c>
      <c r="D30" s="17" t="inlineStr">
        <is>
          <t>Medium</t>
        </is>
      </c>
      <c r="E30" s="17" t="inlineStr">
        <is>
          <t>Strings &amp; Hash Map</t>
        </is>
      </c>
      <c r="F30" s="17" t="inlineStr">
        <is>
          <t>https://leetcode.com/problems/group-anagrams/</t>
        </is>
      </c>
      <c r="G30" s="17" t="inlineStr">
        <is>
          <t>Not Started</t>
        </is>
      </c>
      <c r="H30" s="23" t="n"/>
      <c r="I30" s="17" t="inlineStr"/>
    </row>
    <row r="31" ht="30" customHeight="1">
      <c r="A31" s="13" t="n">
        <v>2</v>
      </c>
      <c r="B31" s="13" t="n">
        <v>202</v>
      </c>
      <c r="C31" s="13" t="inlineStr">
        <is>
          <t>Happy Number</t>
        </is>
      </c>
      <c r="D31" s="13" t="inlineStr">
        <is>
          <t>Easy</t>
        </is>
      </c>
      <c r="E31" s="13" t="inlineStr">
        <is>
          <t>Hash Map &amp; Math</t>
        </is>
      </c>
      <c r="F31" s="13" t="inlineStr">
        <is>
          <t>https://leetcode.com/problems/happy-number/</t>
        </is>
      </c>
      <c r="G31" s="13" t="inlineStr">
        <is>
          <t>Not Started</t>
        </is>
      </c>
      <c r="H31" s="22" t="n"/>
      <c r="I31" s="13" t="inlineStr"/>
    </row>
    <row r="32" ht="30" customHeight="1">
      <c r="A32" s="17" t="n">
        <v>2</v>
      </c>
      <c r="B32" s="17" t="n">
        <v>205</v>
      </c>
      <c r="C32" s="17" t="inlineStr">
        <is>
          <t>Isomorphic Strings</t>
        </is>
      </c>
      <c r="D32" s="17" t="inlineStr">
        <is>
          <t>Easy</t>
        </is>
      </c>
      <c r="E32" s="17" t="inlineStr">
        <is>
          <t>Strings &amp; Hash Map</t>
        </is>
      </c>
      <c r="F32" s="17" t="inlineStr">
        <is>
          <t>https://leetcode.com/problems/isomorphic-strings/</t>
        </is>
      </c>
      <c r="G32" s="17" t="inlineStr">
        <is>
          <t>Not Started</t>
        </is>
      </c>
      <c r="H32" s="23" t="n"/>
      <c r="I32" s="17" t="inlineStr"/>
    </row>
    <row r="33" ht="30" customHeight="1">
      <c r="A33" s="13" t="n">
        <v>2</v>
      </c>
      <c r="B33" s="13" t="n">
        <v>290</v>
      </c>
      <c r="C33" s="13" t="inlineStr">
        <is>
          <t>Word Pattern</t>
        </is>
      </c>
      <c r="D33" s="13" t="inlineStr">
        <is>
          <t>Easy</t>
        </is>
      </c>
      <c r="E33" s="13" t="inlineStr">
        <is>
          <t>Strings &amp; Hash Map</t>
        </is>
      </c>
      <c r="F33" s="13" t="inlineStr">
        <is>
          <t>https://leetcode.com/problems/word-pattern/</t>
        </is>
      </c>
      <c r="G33" s="13" t="inlineStr">
        <is>
          <t>Not Started</t>
        </is>
      </c>
      <c r="H33" s="22" t="n"/>
      <c r="I33" s="13" t="inlineStr"/>
    </row>
    <row r="34" ht="30" customHeight="1">
      <c r="A34" s="17" t="n">
        <v>2</v>
      </c>
      <c r="B34" s="17" t="n">
        <v>347</v>
      </c>
      <c r="C34" s="17" t="inlineStr">
        <is>
          <t>Top K Frequent Elements</t>
        </is>
      </c>
      <c r="D34" s="17" t="inlineStr">
        <is>
          <t>Medium</t>
        </is>
      </c>
      <c r="E34" s="17" t="inlineStr">
        <is>
          <t>Arrays &amp; Hash Map &amp; Heap</t>
        </is>
      </c>
      <c r="F34" s="17" t="inlineStr">
        <is>
          <t>https://leetcode.com/problems/top-k-frequent-elements/</t>
        </is>
      </c>
      <c r="G34" s="17" t="inlineStr">
        <is>
          <t>Not Started</t>
        </is>
      </c>
      <c r="H34" s="23" t="n"/>
      <c r="I34" s="17" t="inlineStr"/>
    </row>
    <row r="35" ht="30" customHeight="1">
      <c r="A35" s="13" t="n">
        <v>2</v>
      </c>
      <c r="B35" s="13" t="n">
        <v>383</v>
      </c>
      <c r="C35" s="13" t="inlineStr">
        <is>
          <t>Ransom Note</t>
        </is>
      </c>
      <c r="D35" s="13" t="inlineStr">
        <is>
          <t>Easy</t>
        </is>
      </c>
      <c r="E35" s="13" t="inlineStr">
        <is>
          <t>Hash Map &amp; Strings</t>
        </is>
      </c>
      <c r="F35" s="13" t="inlineStr">
        <is>
          <t>https://leetcode.com/problems/ransom-note/</t>
        </is>
      </c>
      <c r="G35" s="13" t="inlineStr">
        <is>
          <t>Not Started</t>
        </is>
      </c>
      <c r="H35" s="22" t="n"/>
      <c r="I35" s="13" t="inlineStr"/>
    </row>
    <row r="36" ht="30" customHeight="1">
      <c r="A36" s="17" t="n">
        <v>2</v>
      </c>
      <c r="B36" s="17" t="n">
        <v>387</v>
      </c>
      <c r="C36" s="17" t="inlineStr">
        <is>
          <t>First Unique Character in a String</t>
        </is>
      </c>
      <c r="D36" s="17" t="inlineStr">
        <is>
          <t>Easy</t>
        </is>
      </c>
      <c r="E36" s="17" t="inlineStr">
        <is>
          <t>Hash Map &amp; Strings</t>
        </is>
      </c>
      <c r="F36" s="17" t="inlineStr">
        <is>
          <t>https://leetcode.com/problems/first-unique-character-in-a-string/</t>
        </is>
      </c>
      <c r="G36" s="17" t="inlineStr">
        <is>
          <t>Not Started</t>
        </is>
      </c>
      <c r="H36" s="23" t="n"/>
      <c r="I36" s="17" t="inlineStr"/>
    </row>
    <row r="37" ht="30" customHeight="1">
      <c r="A37" s="13" t="n">
        <v>2</v>
      </c>
      <c r="B37" s="13" t="n">
        <v>409</v>
      </c>
      <c r="C37" s="13" t="inlineStr">
        <is>
          <t>Longest Palindrome</t>
        </is>
      </c>
      <c r="D37" s="13" t="inlineStr">
        <is>
          <t>Easy</t>
        </is>
      </c>
      <c r="E37" s="13" t="inlineStr">
        <is>
          <t>Hash Map &amp; Strings</t>
        </is>
      </c>
      <c r="F37" s="13" t="inlineStr">
        <is>
          <t>https://leetcode.com/problems/longest-palindrome/</t>
        </is>
      </c>
      <c r="G37" s="13" t="inlineStr">
        <is>
          <t>Not Started</t>
        </is>
      </c>
      <c r="H37" s="22" t="n"/>
      <c r="I37" s="13" t="inlineStr"/>
    </row>
    <row r="38" ht="30" customHeight="1">
      <c r="A38" s="17" t="n">
        <v>2</v>
      </c>
      <c r="B38" s="17" t="n">
        <v>70</v>
      </c>
      <c r="C38" s="17" t="inlineStr">
        <is>
          <t>Climbing Stairs</t>
        </is>
      </c>
      <c r="D38" s="17" t="inlineStr">
        <is>
          <t>Easy</t>
        </is>
      </c>
      <c r="E38" s="17" t="inlineStr">
        <is>
          <t>Recursion &amp; DP</t>
        </is>
      </c>
      <c r="F38" s="17" t="inlineStr">
        <is>
          <t>https://leetcode.com/problems/climbing-stairs/</t>
        </is>
      </c>
      <c r="G38" s="17" t="inlineStr">
        <is>
          <t>Not Started</t>
        </is>
      </c>
      <c r="H38" s="23" t="n"/>
      <c r="I38" s="17" t="inlineStr"/>
    </row>
    <row r="39" ht="30" customHeight="1">
      <c r="A39" s="13" t="n">
        <v>2</v>
      </c>
      <c r="B39" s="13" t="n">
        <v>509</v>
      </c>
      <c r="C39" s="13" t="inlineStr">
        <is>
          <t>Fibonacci Number</t>
        </is>
      </c>
      <c r="D39" s="13" t="inlineStr">
        <is>
          <t>Easy</t>
        </is>
      </c>
      <c r="E39" s="13" t="inlineStr">
        <is>
          <t>Recursion &amp; DP</t>
        </is>
      </c>
      <c r="F39" s="13" t="inlineStr">
        <is>
          <t>https://leetcode.com/problems/fibonacci-number/</t>
        </is>
      </c>
      <c r="G39" s="13" t="inlineStr">
        <is>
          <t>Not Started</t>
        </is>
      </c>
      <c r="H39" s="22" t="n"/>
      <c r="I39" s="13" t="inlineStr"/>
    </row>
    <row r="40" ht="30" customHeight="1">
      <c r="A40" s="17" t="n">
        <v>2</v>
      </c>
      <c r="B40" s="17" t="n">
        <v>1137</v>
      </c>
      <c r="C40" s="17" t="inlineStr">
        <is>
          <t>N-th Tribonacci Number</t>
        </is>
      </c>
      <c r="D40" s="17" t="inlineStr">
        <is>
          <t>Easy</t>
        </is>
      </c>
      <c r="E40" s="17" t="inlineStr">
        <is>
          <t>Recursion &amp; DP</t>
        </is>
      </c>
      <c r="F40" s="17" t="inlineStr">
        <is>
          <t>https://leetcode.com/problems/n-th-tribonacci-number/</t>
        </is>
      </c>
      <c r="G40" s="17" t="inlineStr">
        <is>
          <t>Not Started</t>
        </is>
      </c>
      <c r="H40" s="23" t="n"/>
      <c r="I40" s="17" t="inlineStr"/>
    </row>
    <row r="41" ht="30" customHeight="1">
      <c r="A41" s="13" t="n">
        <v>3</v>
      </c>
      <c r="B41" s="13" t="n">
        <v>206</v>
      </c>
      <c r="C41" s="13" t="inlineStr">
        <is>
          <t>Reverse Linked List</t>
        </is>
      </c>
      <c r="D41" s="13" t="inlineStr">
        <is>
          <t>Easy</t>
        </is>
      </c>
      <c r="E41" s="13" t="inlineStr">
        <is>
          <t>Linked List &amp; Recursion</t>
        </is>
      </c>
      <c r="F41" s="13" t="inlineStr">
        <is>
          <t>https://leetcode.com/problems/reverse-linked-list/</t>
        </is>
      </c>
      <c r="G41" s="13" t="inlineStr">
        <is>
          <t>Not Started</t>
        </is>
      </c>
      <c r="H41" s="22" t="n"/>
      <c r="I41" s="13" t="inlineStr"/>
    </row>
    <row r="42" ht="30" customHeight="1">
      <c r="A42" s="17" t="n">
        <v>3</v>
      </c>
      <c r="B42" s="17" t="n">
        <v>21</v>
      </c>
      <c r="C42" s="17" t="inlineStr">
        <is>
          <t>Merge Two Sorted Lists</t>
        </is>
      </c>
      <c r="D42" s="17" t="inlineStr">
        <is>
          <t>Easy</t>
        </is>
      </c>
      <c r="E42" s="17" t="inlineStr">
        <is>
          <t>Linked List</t>
        </is>
      </c>
      <c r="F42" s="17" t="inlineStr">
        <is>
          <t>https://leetcode.com/problems/merge-two-sorted-lists/</t>
        </is>
      </c>
      <c r="G42" s="17" t="inlineStr">
        <is>
          <t>Not Started</t>
        </is>
      </c>
      <c r="H42" s="23" t="n"/>
      <c r="I42" s="17" t="inlineStr"/>
    </row>
    <row r="43" ht="30" customHeight="1">
      <c r="A43" s="13" t="n">
        <v>3</v>
      </c>
      <c r="B43" s="13" t="n">
        <v>141</v>
      </c>
      <c r="C43" s="13" t="inlineStr">
        <is>
          <t>Linked List Cycle</t>
        </is>
      </c>
      <c r="D43" s="13" t="inlineStr">
        <is>
          <t>Easy</t>
        </is>
      </c>
      <c r="E43" s="13" t="inlineStr">
        <is>
          <t>Linked List &amp; Two Pointers</t>
        </is>
      </c>
      <c r="F43" s="13" t="inlineStr">
        <is>
          <t>https://leetcode.com/problems/linked-list-cycle/</t>
        </is>
      </c>
      <c r="G43" s="13" t="inlineStr">
        <is>
          <t>Not Started</t>
        </is>
      </c>
      <c r="H43" s="22" t="n"/>
      <c r="I43" s="13" t="inlineStr"/>
    </row>
    <row r="44" ht="30" customHeight="1">
      <c r="A44" s="17" t="n">
        <v>3</v>
      </c>
      <c r="B44" s="17" t="n">
        <v>160</v>
      </c>
      <c r="C44" s="17" t="inlineStr">
        <is>
          <t>Intersection of Two Linked Lists</t>
        </is>
      </c>
      <c r="D44" s="17" t="inlineStr">
        <is>
          <t>Easy</t>
        </is>
      </c>
      <c r="E44" s="17" t="inlineStr">
        <is>
          <t>Linked List &amp; Two Pointers</t>
        </is>
      </c>
      <c r="F44" s="17" t="inlineStr">
        <is>
          <t>https://leetcode.com/problems/intersection-of-two-linked-lists/</t>
        </is>
      </c>
      <c r="G44" s="17" t="inlineStr">
        <is>
          <t>Not Started</t>
        </is>
      </c>
      <c r="H44" s="23" t="n"/>
      <c r="I44" s="17" t="inlineStr"/>
    </row>
    <row r="45" ht="30" customHeight="1">
      <c r="A45" s="13" t="n">
        <v>3</v>
      </c>
      <c r="B45" s="13" t="n">
        <v>203</v>
      </c>
      <c r="C45" s="13" t="inlineStr">
        <is>
          <t>Remove Linked List Elements</t>
        </is>
      </c>
      <c r="D45" s="13" t="inlineStr">
        <is>
          <t>Easy</t>
        </is>
      </c>
      <c r="E45" s="13" t="inlineStr">
        <is>
          <t>Linked List</t>
        </is>
      </c>
      <c r="F45" s="13" t="inlineStr">
        <is>
          <t>https://leetcode.com/problems/remove-linked-list-elements/</t>
        </is>
      </c>
      <c r="G45" s="13" t="inlineStr">
        <is>
          <t>Not Started</t>
        </is>
      </c>
      <c r="H45" s="22" t="n"/>
      <c r="I45" s="13" t="inlineStr"/>
    </row>
    <row r="46" ht="30" customHeight="1">
      <c r="A46" s="17" t="n">
        <v>3</v>
      </c>
      <c r="B46" s="17" t="n">
        <v>234</v>
      </c>
      <c r="C46" s="17" t="inlineStr">
        <is>
          <t>Palindrome Linked List</t>
        </is>
      </c>
      <c r="D46" s="17" t="inlineStr">
        <is>
          <t>Easy</t>
        </is>
      </c>
      <c r="E46" s="17" t="inlineStr">
        <is>
          <t>Linked List &amp; Two Pointers</t>
        </is>
      </c>
      <c r="F46" s="17" t="inlineStr">
        <is>
          <t>https://leetcode.com/problems/palindrome-linked-list/</t>
        </is>
      </c>
      <c r="G46" s="17" t="inlineStr">
        <is>
          <t>Not Started</t>
        </is>
      </c>
      <c r="H46" s="23" t="n"/>
      <c r="I46" s="17" t="inlineStr"/>
    </row>
    <row r="47" ht="30" customHeight="1">
      <c r="A47" s="13" t="n">
        <v>3</v>
      </c>
      <c r="B47" s="13" t="n">
        <v>237</v>
      </c>
      <c r="C47" s="13" t="inlineStr">
        <is>
          <t>Delete Node in a Linked List</t>
        </is>
      </c>
      <c r="D47" s="13" t="inlineStr">
        <is>
          <t>Medium</t>
        </is>
      </c>
      <c r="E47" s="13" t="inlineStr">
        <is>
          <t>Linked List</t>
        </is>
      </c>
      <c r="F47" s="13" t="inlineStr">
        <is>
          <t>https://leetcode.com/problems/delete-node-in-a-linked-list/</t>
        </is>
      </c>
      <c r="G47" s="13" t="inlineStr">
        <is>
          <t>Not Started</t>
        </is>
      </c>
      <c r="H47" s="22" t="n"/>
      <c r="I47" s="13" t="inlineStr"/>
    </row>
    <row r="48" ht="30" customHeight="1">
      <c r="A48" s="17" t="n">
        <v>3</v>
      </c>
      <c r="B48" s="17" t="n">
        <v>876</v>
      </c>
      <c r="C48" s="17" t="inlineStr">
        <is>
          <t>Middle of the Linked List</t>
        </is>
      </c>
      <c r="D48" s="17" t="inlineStr">
        <is>
          <t>Easy</t>
        </is>
      </c>
      <c r="E48" s="17" t="inlineStr">
        <is>
          <t>Linked List &amp; Two Pointers</t>
        </is>
      </c>
      <c r="F48" s="17" t="inlineStr">
        <is>
          <t>https://leetcode.com/problems/middle-of-the-linked-list/</t>
        </is>
      </c>
      <c r="G48" s="17" t="inlineStr">
        <is>
          <t>Not Started</t>
        </is>
      </c>
      <c r="H48" s="23" t="n"/>
      <c r="I48" s="17" t="inlineStr"/>
    </row>
    <row r="49" ht="30" customHeight="1">
      <c r="A49" s="13" t="n">
        <v>3</v>
      </c>
      <c r="B49" s="13" t="n">
        <v>2</v>
      </c>
      <c r="C49" s="13" t="inlineStr">
        <is>
          <t>Add Two Numbers</t>
        </is>
      </c>
      <c r="D49" s="13" t="inlineStr">
        <is>
          <t>Medium</t>
        </is>
      </c>
      <c r="E49" s="13" t="inlineStr">
        <is>
          <t>Linked List &amp; Math</t>
        </is>
      </c>
      <c r="F49" s="13" t="inlineStr">
        <is>
          <t>https://leetcode.com/problems/add-two-numbers/</t>
        </is>
      </c>
      <c r="G49" s="13" t="inlineStr">
        <is>
          <t>Not Started</t>
        </is>
      </c>
      <c r="H49" s="22" t="n"/>
      <c r="I49" s="13" t="inlineStr"/>
    </row>
    <row r="50" ht="30" customHeight="1">
      <c r="A50" s="17" t="n">
        <v>3</v>
      </c>
      <c r="B50" s="17" t="n">
        <v>19</v>
      </c>
      <c r="C50" s="17" t="inlineStr">
        <is>
          <t>Remove Nth Node From End</t>
        </is>
      </c>
      <c r="D50" s="17" t="inlineStr">
        <is>
          <t>Medium</t>
        </is>
      </c>
      <c r="E50" s="17" t="inlineStr">
        <is>
          <t>Linked List &amp; Two Pointers</t>
        </is>
      </c>
      <c r="F50" s="17" t="inlineStr">
        <is>
          <t>https://leetcode.com/problems/remove-nth-node-from-end/</t>
        </is>
      </c>
      <c r="G50" s="17" t="inlineStr">
        <is>
          <t>Not Started</t>
        </is>
      </c>
      <c r="H50" s="23" t="n"/>
      <c r="I50" s="17" t="inlineStr"/>
    </row>
    <row r="51" ht="30" customHeight="1">
      <c r="A51" s="13" t="n">
        <v>3</v>
      </c>
      <c r="B51" s="13" t="n">
        <v>24</v>
      </c>
      <c r="C51" s="13" t="inlineStr">
        <is>
          <t>Swap Nodes in Pairs</t>
        </is>
      </c>
      <c r="D51" s="13" t="inlineStr">
        <is>
          <t>Medium</t>
        </is>
      </c>
      <c r="E51" s="13" t="inlineStr">
        <is>
          <t>Linked List &amp; Recursion</t>
        </is>
      </c>
      <c r="F51" s="13" t="inlineStr">
        <is>
          <t>https://leetcode.com/problems/swap-nodes-in-pairs/</t>
        </is>
      </c>
      <c r="G51" s="13" t="inlineStr">
        <is>
          <t>Not Started</t>
        </is>
      </c>
      <c r="H51" s="22" t="n"/>
      <c r="I51" s="13" t="inlineStr"/>
    </row>
    <row r="52" ht="30" customHeight="1">
      <c r="A52" s="17" t="n">
        <v>3</v>
      </c>
      <c r="B52" s="17" t="n">
        <v>92</v>
      </c>
      <c r="C52" s="17" t="inlineStr">
        <is>
          <t>Reverse Linked List II</t>
        </is>
      </c>
      <c r="D52" s="17" t="inlineStr">
        <is>
          <t>Medium</t>
        </is>
      </c>
      <c r="E52" s="17" t="inlineStr">
        <is>
          <t>Linked List</t>
        </is>
      </c>
      <c r="F52" s="17" t="inlineStr">
        <is>
          <t>https://leetcode.com/problems/reverse-linked-list-ii/</t>
        </is>
      </c>
      <c r="G52" s="17" t="inlineStr">
        <is>
          <t>Not Started</t>
        </is>
      </c>
      <c r="H52" s="23" t="n"/>
      <c r="I52" s="17" t="inlineStr"/>
    </row>
    <row r="53" ht="30" customHeight="1">
      <c r="A53" s="13" t="n">
        <v>3</v>
      </c>
      <c r="B53" s="13" t="n">
        <v>143</v>
      </c>
      <c r="C53" s="13" t="inlineStr">
        <is>
          <t>Reorder List</t>
        </is>
      </c>
      <c r="D53" s="13" t="inlineStr">
        <is>
          <t>Medium</t>
        </is>
      </c>
      <c r="E53" s="13" t="inlineStr">
        <is>
          <t>Linked List &amp; Two Pointers</t>
        </is>
      </c>
      <c r="F53" s="13" t="inlineStr">
        <is>
          <t>https://leetcode.com/problems/reorder-list/</t>
        </is>
      </c>
      <c r="G53" s="13" t="inlineStr">
        <is>
          <t>Not Started</t>
        </is>
      </c>
      <c r="H53" s="22" t="n"/>
      <c r="I53" s="13" t="inlineStr"/>
    </row>
    <row r="54" ht="30" customHeight="1">
      <c r="A54" s="17" t="n">
        <v>3</v>
      </c>
      <c r="B54" s="17" t="n">
        <v>146</v>
      </c>
      <c r="C54" s="17" t="inlineStr">
        <is>
          <t>LRU Cache</t>
        </is>
      </c>
      <c r="D54" s="17" t="inlineStr">
        <is>
          <t>Medium</t>
        </is>
      </c>
      <c r="E54" s="17" t="inlineStr">
        <is>
          <t>Hash Map &amp; Linked List</t>
        </is>
      </c>
      <c r="F54" s="17" t="inlineStr">
        <is>
          <t>https://leetcode.com/problems/lru-cache/</t>
        </is>
      </c>
      <c r="G54" s="17" t="inlineStr">
        <is>
          <t>Not Started</t>
        </is>
      </c>
      <c r="H54" s="23" t="n"/>
      <c r="I54" s="17" t="inlineStr"/>
    </row>
    <row r="55" ht="30" customHeight="1">
      <c r="A55" s="13" t="n">
        <v>3</v>
      </c>
      <c r="B55" s="13" t="n">
        <v>328</v>
      </c>
      <c r="C55" s="13" t="inlineStr">
        <is>
          <t>Odd Even Linked List</t>
        </is>
      </c>
      <c r="D55" s="13" t="inlineStr">
        <is>
          <t>Medium</t>
        </is>
      </c>
      <c r="E55" s="13" t="inlineStr">
        <is>
          <t>Linked List</t>
        </is>
      </c>
      <c r="F55" s="13" t="inlineStr">
        <is>
          <t>https://leetcode.com/problems/odd-even-linked-list/</t>
        </is>
      </c>
      <c r="G55" s="13" t="inlineStr">
        <is>
          <t>Not Started</t>
        </is>
      </c>
      <c r="H55" s="22" t="n"/>
      <c r="I55" s="13" t="inlineStr"/>
    </row>
    <row r="56" ht="30" customHeight="1">
      <c r="A56" s="17" t="n">
        <v>3</v>
      </c>
      <c r="B56" s="17" t="n">
        <v>23</v>
      </c>
      <c r="C56" s="17" t="inlineStr">
        <is>
          <t>Merge K Sorted Lists</t>
        </is>
      </c>
      <c r="D56" s="17" t="inlineStr">
        <is>
          <t>Hard</t>
        </is>
      </c>
      <c r="E56" s="17" t="inlineStr">
        <is>
          <t>Linked List &amp; Heap</t>
        </is>
      </c>
      <c r="F56" s="17" t="inlineStr">
        <is>
          <t>https://leetcode.com/problems/merge-k-sorted-lists/</t>
        </is>
      </c>
      <c r="G56" s="17" t="inlineStr">
        <is>
          <t>Not Started</t>
        </is>
      </c>
      <c r="H56" s="23" t="n"/>
      <c r="I56" s="17" t="inlineStr"/>
    </row>
    <row r="57" ht="30" customHeight="1">
      <c r="A57" s="13" t="n">
        <v>3</v>
      </c>
      <c r="B57" s="13" t="n">
        <v>25</v>
      </c>
      <c r="C57" s="13" t="inlineStr">
        <is>
          <t>Reverse Nodes in K-Group</t>
        </is>
      </c>
      <c r="D57" s="13" t="inlineStr">
        <is>
          <t>Hard</t>
        </is>
      </c>
      <c r="E57" s="13" t="inlineStr">
        <is>
          <t>Linked List</t>
        </is>
      </c>
      <c r="F57" s="13" t="inlineStr">
        <is>
          <t>https://leetcode.com/problems/reverse-nodes-in-k-group/</t>
        </is>
      </c>
      <c r="G57" s="13" t="inlineStr">
        <is>
          <t>Not Started</t>
        </is>
      </c>
      <c r="H57" s="22" t="n"/>
      <c r="I57" s="13" t="inlineStr"/>
    </row>
    <row r="58" ht="30" customHeight="1">
      <c r="A58" s="17" t="n">
        <v>3</v>
      </c>
      <c r="B58" s="17" t="n">
        <v>155</v>
      </c>
      <c r="C58" s="17" t="inlineStr">
        <is>
          <t>Min Stack</t>
        </is>
      </c>
      <c r="D58" s="17" t="inlineStr">
        <is>
          <t>Medium</t>
        </is>
      </c>
      <c r="E58" s="17" t="inlineStr">
        <is>
          <t>Stack</t>
        </is>
      </c>
      <c r="F58" s="17" t="inlineStr">
        <is>
          <t>https://leetcode.com/problems/min-stack/</t>
        </is>
      </c>
      <c r="G58" s="17" t="inlineStr">
        <is>
          <t>Not Started</t>
        </is>
      </c>
      <c r="H58" s="23" t="n"/>
      <c r="I58" s="17" t="inlineStr"/>
    </row>
    <row r="59" ht="30" customHeight="1">
      <c r="A59" s="13" t="n">
        <v>3</v>
      </c>
      <c r="B59" s="13" t="n">
        <v>739</v>
      </c>
      <c r="C59" s="13" t="inlineStr">
        <is>
          <t>Daily Temperatures</t>
        </is>
      </c>
      <c r="D59" s="13" t="inlineStr">
        <is>
          <t>Medium</t>
        </is>
      </c>
      <c r="E59" s="13" t="inlineStr">
        <is>
          <t>Stack &amp; Monotonic Stack</t>
        </is>
      </c>
      <c r="F59" s="13" t="inlineStr">
        <is>
          <t>https://leetcode.com/problems/daily-temperatures/</t>
        </is>
      </c>
      <c r="G59" s="13" t="inlineStr">
        <is>
          <t>Not Started</t>
        </is>
      </c>
      <c r="H59" s="22" t="n"/>
      <c r="I59" s="13" t="inlineStr"/>
    </row>
    <row r="60" ht="30" customHeight="1">
      <c r="A60" s="17" t="n">
        <v>3</v>
      </c>
      <c r="B60" s="17" t="n">
        <v>84</v>
      </c>
      <c r="C60" s="17" t="inlineStr">
        <is>
          <t>Largest Rectangle in Histogram</t>
        </is>
      </c>
      <c r="D60" s="17" t="inlineStr">
        <is>
          <t>Hard</t>
        </is>
      </c>
      <c r="E60" s="17" t="inlineStr">
        <is>
          <t>Stack &amp; Monotonic Stack</t>
        </is>
      </c>
      <c r="F60" s="17" t="inlineStr">
        <is>
          <t>https://leetcode.com/problems/largest-rectangle-in-histogram/</t>
        </is>
      </c>
      <c r="G60" s="17" t="inlineStr">
        <is>
          <t>Not Started</t>
        </is>
      </c>
      <c r="H60" s="23" t="n"/>
      <c r="I60" s="17" t="inlineStr"/>
    </row>
    <row r="61" ht="30" customHeight="1">
      <c r="A61" s="13" t="n">
        <v>3</v>
      </c>
      <c r="B61" s="13" t="n">
        <v>225</v>
      </c>
      <c r="C61" s="13" t="inlineStr">
        <is>
          <t>Implement Stack Using Queues</t>
        </is>
      </c>
      <c r="D61" s="13" t="inlineStr">
        <is>
          <t>Easy</t>
        </is>
      </c>
      <c r="E61" s="13" t="inlineStr">
        <is>
          <t>Stack &amp; Queue</t>
        </is>
      </c>
      <c r="F61" s="13" t="inlineStr">
        <is>
          <t>https://leetcode.com/problems/implement-stack-using-queues/</t>
        </is>
      </c>
      <c r="G61" s="13" t="inlineStr">
        <is>
          <t>Not Started</t>
        </is>
      </c>
      <c r="H61" s="22" t="n"/>
      <c r="I61" s="13" t="inlineStr"/>
    </row>
    <row r="62" ht="30" customHeight="1">
      <c r="A62" s="17" t="n">
        <v>3</v>
      </c>
      <c r="B62" s="17" t="n">
        <v>232</v>
      </c>
      <c r="C62" s="17" t="inlineStr">
        <is>
          <t>Implement Queue Using Stacks</t>
        </is>
      </c>
      <c r="D62" s="17" t="inlineStr">
        <is>
          <t>Easy</t>
        </is>
      </c>
      <c r="E62" s="17" t="inlineStr">
        <is>
          <t>Stack &amp; Queue</t>
        </is>
      </c>
      <c r="F62" s="17" t="inlineStr">
        <is>
          <t>https://leetcode.com/problems/implement-queue-using-stacks/</t>
        </is>
      </c>
      <c r="G62" s="17" t="inlineStr">
        <is>
          <t>Not Started</t>
        </is>
      </c>
      <c r="H62" s="23" t="n"/>
      <c r="I62" s="17" t="inlineStr"/>
    </row>
    <row r="63" ht="30" customHeight="1">
      <c r="A63" s="13" t="n">
        <v>3</v>
      </c>
      <c r="B63" s="13" t="n">
        <v>622</v>
      </c>
      <c r="C63" s="13" t="inlineStr">
        <is>
          <t>Design Circular Queue</t>
        </is>
      </c>
      <c r="D63" s="13" t="inlineStr">
        <is>
          <t>Medium</t>
        </is>
      </c>
      <c r="E63" s="13" t="inlineStr">
        <is>
          <t>Queue</t>
        </is>
      </c>
      <c r="F63" s="13" t="inlineStr">
        <is>
          <t>https://leetcode.com/problems/design-circular-queue/</t>
        </is>
      </c>
      <c r="G63" s="13" t="inlineStr">
        <is>
          <t>Not Started</t>
        </is>
      </c>
      <c r="H63" s="22" t="n"/>
      <c r="I63" s="13" t="inlineStr"/>
    </row>
    <row r="64" ht="30" customHeight="1">
      <c r="A64" s="17" t="n">
        <v>3</v>
      </c>
      <c r="B64" s="17" t="n">
        <v>295</v>
      </c>
      <c r="C64" s="17" t="inlineStr">
        <is>
          <t>Find Median from Data Stream</t>
        </is>
      </c>
      <c r="D64" s="17" t="inlineStr">
        <is>
          <t>Hard</t>
        </is>
      </c>
      <c r="E64" s="17" t="inlineStr">
        <is>
          <t>Heap</t>
        </is>
      </c>
      <c r="F64" s="17" t="inlineStr">
        <is>
          <t>https://leetcode.com/problems/find-median-from-data-stream/</t>
        </is>
      </c>
      <c r="G64" s="17" t="inlineStr">
        <is>
          <t>Not Started</t>
        </is>
      </c>
      <c r="H64" s="23" t="n"/>
      <c r="I64" s="17" t="inlineStr"/>
    </row>
    <row r="65" ht="30" customHeight="1">
      <c r="A65" s="13" t="n">
        <v>3</v>
      </c>
      <c r="B65" s="13" t="n">
        <v>703</v>
      </c>
      <c r="C65" s="13" t="inlineStr">
        <is>
          <t>Kth Largest Element in a Stream</t>
        </is>
      </c>
      <c r="D65" s="13" t="inlineStr">
        <is>
          <t>Easy</t>
        </is>
      </c>
      <c r="E65" s="13" t="inlineStr">
        <is>
          <t>Heap</t>
        </is>
      </c>
      <c r="F65" s="13" t="inlineStr">
        <is>
          <t>https://leetcode.com/problems/kth-largest-element-in-a-stream/</t>
        </is>
      </c>
      <c r="G65" s="13" t="inlineStr">
        <is>
          <t>Not Started</t>
        </is>
      </c>
      <c r="H65" s="22" t="n"/>
      <c r="I65" s="13" t="inlineStr"/>
    </row>
    <row r="66" ht="30" customHeight="1">
      <c r="A66" s="17" t="n">
        <v>3</v>
      </c>
      <c r="B66" s="17" t="n">
        <v>496</v>
      </c>
      <c r="C66" s="17" t="inlineStr">
        <is>
          <t>Next Greater Element I</t>
        </is>
      </c>
      <c r="D66" s="17" t="inlineStr">
        <is>
          <t>Easy</t>
        </is>
      </c>
      <c r="E66" s="17" t="inlineStr">
        <is>
          <t>Stack &amp; Monotonic Stack</t>
        </is>
      </c>
      <c r="F66" s="17" t="inlineStr">
        <is>
          <t>https://leetcode.com/problems/next-greater-element-i/</t>
        </is>
      </c>
      <c r="G66" s="17" t="inlineStr">
        <is>
          <t>Not Started</t>
        </is>
      </c>
      <c r="H66" s="23" t="n"/>
      <c r="I66" s="17" t="inlineStr"/>
    </row>
    <row r="67" ht="30" customHeight="1">
      <c r="A67" s="13" t="n">
        <v>3</v>
      </c>
      <c r="B67" s="13" t="n">
        <v>503</v>
      </c>
      <c r="C67" s="13" t="inlineStr">
        <is>
          <t>Next Greater Element II</t>
        </is>
      </c>
      <c r="D67" s="13" t="inlineStr">
        <is>
          <t>Medium</t>
        </is>
      </c>
      <c r="E67" s="13" t="inlineStr">
        <is>
          <t>Stack &amp; Monotonic Stack</t>
        </is>
      </c>
      <c r="F67" s="13" t="inlineStr">
        <is>
          <t>https://leetcode.com/problems/next-greater-element-ii/</t>
        </is>
      </c>
      <c r="G67" s="13" t="inlineStr">
        <is>
          <t>Not Started</t>
        </is>
      </c>
      <c r="H67" s="22" t="n"/>
      <c r="I67" s="13" t="inlineStr"/>
    </row>
    <row r="68" ht="30" customHeight="1">
      <c r="A68" s="17" t="n">
        <v>3</v>
      </c>
      <c r="B68" s="17" t="n">
        <v>901</v>
      </c>
      <c r="C68" s="17" t="inlineStr">
        <is>
          <t>Online Stock Span</t>
        </is>
      </c>
      <c r="D68" s="17" t="inlineStr">
        <is>
          <t>Medium</t>
        </is>
      </c>
      <c r="E68" s="17" t="inlineStr">
        <is>
          <t>Stack &amp; Monotonic Stack</t>
        </is>
      </c>
      <c r="F68" s="17" t="inlineStr">
        <is>
          <t>https://leetcode.com/problems/online-stock-span/</t>
        </is>
      </c>
      <c r="G68" s="17" t="inlineStr">
        <is>
          <t>Not Started</t>
        </is>
      </c>
      <c r="H68" s="23" t="n"/>
      <c r="I68" s="17" t="inlineStr"/>
    </row>
    <row r="69" ht="30" customHeight="1">
      <c r="A69" s="13" t="n">
        <v>3</v>
      </c>
      <c r="B69" s="13" t="n">
        <v>907</v>
      </c>
      <c r="C69" s="13" t="inlineStr">
        <is>
          <t>Sum of Subarray Minimums</t>
        </is>
      </c>
      <c r="D69" s="13" t="inlineStr">
        <is>
          <t>Medium</t>
        </is>
      </c>
      <c r="E69" s="13" t="inlineStr">
        <is>
          <t>Stack &amp; Monotonic Stack &amp; DP</t>
        </is>
      </c>
      <c r="F69" s="13" t="inlineStr">
        <is>
          <t>https://leetcode.com/problems/sum-of-subarray-minimums/</t>
        </is>
      </c>
      <c r="G69" s="13" t="inlineStr">
        <is>
          <t>Not Started</t>
        </is>
      </c>
      <c r="H69" s="22" t="n"/>
      <c r="I69" s="13" t="inlineStr"/>
    </row>
    <row r="70" ht="30" customHeight="1">
      <c r="A70" s="17" t="n">
        <v>3</v>
      </c>
      <c r="B70" s="17" t="n">
        <v>150</v>
      </c>
      <c r="C70" s="17" t="inlineStr">
        <is>
          <t>Evaluate Reverse Polish Notation</t>
        </is>
      </c>
      <c r="D70" s="17" t="inlineStr">
        <is>
          <t>Medium</t>
        </is>
      </c>
      <c r="E70" s="17" t="inlineStr">
        <is>
          <t>Stack</t>
        </is>
      </c>
      <c r="F70" s="17" t="inlineStr">
        <is>
          <t>https://leetcode.com/problems/evaluate-reverse-polish-notation/</t>
        </is>
      </c>
      <c r="G70" s="17" t="inlineStr">
        <is>
          <t>Not Started</t>
        </is>
      </c>
      <c r="H70" s="23" t="n"/>
      <c r="I70" s="17" t="inlineStr"/>
    </row>
    <row r="71" ht="30" customHeight="1">
      <c r="A71" s="13" t="n">
        <v>3</v>
      </c>
      <c r="B71" s="13" t="n">
        <v>394</v>
      </c>
      <c r="C71" s="13" t="inlineStr">
        <is>
          <t>Decode String</t>
        </is>
      </c>
      <c r="D71" s="13" t="inlineStr">
        <is>
          <t>Medium</t>
        </is>
      </c>
      <c r="E71" s="13" t="inlineStr">
        <is>
          <t>Stack &amp; Strings</t>
        </is>
      </c>
      <c r="F71" s="13" t="inlineStr">
        <is>
          <t>https://leetcode.com/problems/decode-string/</t>
        </is>
      </c>
      <c r="G71" s="13" t="inlineStr">
        <is>
          <t>Not Started</t>
        </is>
      </c>
      <c r="H71" s="22" t="n"/>
      <c r="I71" s="13" t="inlineStr"/>
    </row>
    <row r="72" ht="30" customHeight="1">
      <c r="A72" s="17" t="n">
        <v>3</v>
      </c>
      <c r="B72" s="17" t="n">
        <v>94</v>
      </c>
      <c r="C72" s="17" t="inlineStr">
        <is>
          <t>Binary Tree Inorder Traversal</t>
        </is>
      </c>
      <c r="D72" s="17" t="inlineStr">
        <is>
          <t>Easy</t>
        </is>
      </c>
      <c r="E72" s="17" t="inlineStr">
        <is>
          <t>Binary Tree &amp; DFS</t>
        </is>
      </c>
      <c r="F72" s="17" t="inlineStr">
        <is>
          <t>https://leetcode.com/problems/binary-tree-inorder-traversal/</t>
        </is>
      </c>
      <c r="G72" s="17" t="inlineStr">
        <is>
          <t>Not Started</t>
        </is>
      </c>
      <c r="H72" s="23" t="n"/>
      <c r="I72" s="17" t="inlineStr"/>
    </row>
    <row r="73" ht="30" customHeight="1">
      <c r="A73" s="13" t="n">
        <v>3</v>
      </c>
      <c r="B73" s="13" t="n">
        <v>100</v>
      </c>
      <c r="C73" s="13" t="inlineStr">
        <is>
          <t>Same Tree</t>
        </is>
      </c>
      <c r="D73" s="13" t="inlineStr">
        <is>
          <t>Easy</t>
        </is>
      </c>
      <c r="E73" s="13" t="inlineStr">
        <is>
          <t>Binary Tree &amp; DFS</t>
        </is>
      </c>
      <c r="F73" s="13" t="inlineStr">
        <is>
          <t>https://leetcode.com/problems/same-tree/</t>
        </is>
      </c>
      <c r="G73" s="13" t="inlineStr">
        <is>
          <t>Not Started</t>
        </is>
      </c>
      <c r="H73" s="22" t="n"/>
      <c r="I73" s="13" t="inlineStr"/>
    </row>
    <row r="74" ht="30" customHeight="1">
      <c r="A74" s="17" t="n">
        <v>3</v>
      </c>
      <c r="B74" s="17" t="n">
        <v>101</v>
      </c>
      <c r="C74" s="17" t="inlineStr">
        <is>
          <t>Symmetric Tree</t>
        </is>
      </c>
      <c r="D74" s="17" t="inlineStr">
        <is>
          <t>Easy</t>
        </is>
      </c>
      <c r="E74" s="17" t="inlineStr">
        <is>
          <t>Binary Tree &amp; DFS &amp; BFS</t>
        </is>
      </c>
      <c r="F74" s="17" t="inlineStr">
        <is>
          <t>https://leetcode.com/problems/symmetric-tree/</t>
        </is>
      </c>
      <c r="G74" s="17" t="inlineStr">
        <is>
          <t>Not Started</t>
        </is>
      </c>
      <c r="H74" s="23" t="n"/>
      <c r="I74" s="17" t="inlineStr"/>
    </row>
    <row r="75" ht="30" customHeight="1">
      <c r="A75" s="13" t="n">
        <v>3</v>
      </c>
      <c r="B75" s="13" t="n">
        <v>104</v>
      </c>
      <c r="C75" s="13" t="inlineStr">
        <is>
          <t>Maximum Depth of Binary Tree</t>
        </is>
      </c>
      <c r="D75" s="13" t="inlineStr">
        <is>
          <t>Easy</t>
        </is>
      </c>
      <c r="E75" s="13" t="inlineStr">
        <is>
          <t>Binary Tree &amp; DFS</t>
        </is>
      </c>
      <c r="F75" s="13" t="inlineStr">
        <is>
          <t>https://leetcode.com/problems/maximum-depth-of-binary-tree/</t>
        </is>
      </c>
      <c r="G75" s="13" t="inlineStr">
        <is>
          <t>Not Started</t>
        </is>
      </c>
      <c r="H75" s="22" t="n"/>
      <c r="I75" s="13" t="inlineStr"/>
    </row>
    <row r="76" ht="30" customHeight="1">
      <c r="A76" s="17" t="n">
        <v>3</v>
      </c>
      <c r="B76" s="17" t="n">
        <v>111</v>
      </c>
      <c r="C76" s="17" t="inlineStr">
        <is>
          <t>Minimum Depth of Binary Tree</t>
        </is>
      </c>
      <c r="D76" s="17" t="inlineStr">
        <is>
          <t>Easy</t>
        </is>
      </c>
      <c r="E76" s="17" t="inlineStr">
        <is>
          <t>Binary Tree &amp; BFS</t>
        </is>
      </c>
      <c r="F76" s="17" t="inlineStr">
        <is>
          <t>https://leetcode.com/problems/minimum-depth-of-binary-tree/</t>
        </is>
      </c>
      <c r="G76" s="17" t="inlineStr">
        <is>
          <t>Not Started</t>
        </is>
      </c>
      <c r="H76" s="23" t="n"/>
      <c r="I76" s="17" t="inlineStr"/>
    </row>
    <row r="77" ht="30" customHeight="1">
      <c r="A77" s="13" t="n">
        <v>3</v>
      </c>
      <c r="B77" s="13" t="n">
        <v>112</v>
      </c>
      <c r="C77" s="13" t="inlineStr">
        <is>
          <t>Path Sum</t>
        </is>
      </c>
      <c r="D77" s="13" t="inlineStr">
        <is>
          <t>Easy</t>
        </is>
      </c>
      <c r="E77" s="13" t="inlineStr">
        <is>
          <t>Binary Tree &amp; DFS</t>
        </is>
      </c>
      <c r="F77" s="13" t="inlineStr">
        <is>
          <t>https://leetcode.com/problems/path-sum/</t>
        </is>
      </c>
      <c r="G77" s="13" t="inlineStr">
        <is>
          <t>Not Started</t>
        </is>
      </c>
      <c r="H77" s="22" t="n"/>
      <c r="I77" s="13" t="inlineStr"/>
    </row>
    <row r="78" ht="30" customHeight="1">
      <c r="A78" s="17" t="n">
        <v>3</v>
      </c>
      <c r="B78" s="17" t="n">
        <v>144</v>
      </c>
      <c r="C78" s="17" t="inlineStr">
        <is>
          <t>Binary Tree Preorder Traversal</t>
        </is>
      </c>
      <c r="D78" s="17" t="inlineStr">
        <is>
          <t>Easy</t>
        </is>
      </c>
      <c r="E78" s="17" t="inlineStr">
        <is>
          <t>Binary Tree &amp; DFS</t>
        </is>
      </c>
      <c r="F78" s="17" t="inlineStr">
        <is>
          <t>https://leetcode.com/problems/binary-tree-preorder-traversal/</t>
        </is>
      </c>
      <c r="G78" s="17" t="inlineStr">
        <is>
          <t>Not Started</t>
        </is>
      </c>
      <c r="H78" s="23" t="n"/>
      <c r="I78" s="17" t="inlineStr"/>
    </row>
    <row r="79" ht="30" customHeight="1">
      <c r="A79" s="13" t="n">
        <v>3</v>
      </c>
      <c r="B79" s="13" t="n">
        <v>145</v>
      </c>
      <c r="C79" s="13" t="inlineStr">
        <is>
          <t>Binary Tree Postorder Traversal</t>
        </is>
      </c>
      <c r="D79" s="13" t="inlineStr">
        <is>
          <t>Easy</t>
        </is>
      </c>
      <c r="E79" s="13" t="inlineStr">
        <is>
          <t>Binary Tree &amp; DFS</t>
        </is>
      </c>
      <c r="F79" s="13" t="inlineStr">
        <is>
          <t>https://leetcode.com/problems/binary-tree-postorder-traversal/</t>
        </is>
      </c>
      <c r="G79" s="13" t="inlineStr">
        <is>
          <t>Not Started</t>
        </is>
      </c>
      <c r="H79" s="22" t="n"/>
      <c r="I79" s="13" t="inlineStr"/>
    </row>
    <row r="80" ht="30" customHeight="1">
      <c r="A80" s="17" t="n">
        <v>3</v>
      </c>
      <c r="B80" s="17" t="n">
        <v>226</v>
      </c>
      <c r="C80" s="17" t="inlineStr">
        <is>
          <t>Invert Binary Tree</t>
        </is>
      </c>
      <c r="D80" s="17" t="inlineStr">
        <is>
          <t>Easy</t>
        </is>
      </c>
      <c r="E80" s="17" t="inlineStr">
        <is>
          <t>Binary Tree &amp; DFS</t>
        </is>
      </c>
      <c r="F80" s="17" t="inlineStr">
        <is>
          <t>https://leetcode.com/problems/invert-binary-tree/</t>
        </is>
      </c>
      <c r="G80" s="17" t="inlineStr">
        <is>
          <t>Not Started</t>
        </is>
      </c>
      <c r="H80" s="23" t="n"/>
      <c r="I80" s="17" t="inlineStr"/>
    </row>
    <row r="81" ht="30" customHeight="1">
      <c r="A81" s="13" t="n">
        <v>3</v>
      </c>
      <c r="B81" s="13" t="n">
        <v>235</v>
      </c>
      <c r="C81" s="13" t="inlineStr">
        <is>
          <t>LCA of a BST</t>
        </is>
      </c>
      <c r="D81" s="13" t="inlineStr">
        <is>
          <t>Medium</t>
        </is>
      </c>
      <c r="E81" s="13" t="inlineStr">
        <is>
          <t>BST &amp; DFS</t>
        </is>
      </c>
      <c r="F81" s="13" t="inlineStr">
        <is>
          <t>https://leetcode.com/problems/lca-of-a-bst/</t>
        </is>
      </c>
      <c r="G81" s="13" t="inlineStr">
        <is>
          <t>Not Started</t>
        </is>
      </c>
      <c r="H81" s="22" t="n"/>
      <c r="I81" s="13" t="inlineStr"/>
    </row>
    <row r="82" ht="30" customHeight="1">
      <c r="A82" s="17" t="n">
        <v>3</v>
      </c>
      <c r="B82" s="17" t="n">
        <v>98</v>
      </c>
      <c r="C82" s="17" t="inlineStr">
        <is>
          <t>Validate BST</t>
        </is>
      </c>
      <c r="D82" s="17" t="inlineStr">
        <is>
          <t>Medium</t>
        </is>
      </c>
      <c r="E82" s="17" t="inlineStr">
        <is>
          <t>BST &amp; DFS</t>
        </is>
      </c>
      <c r="F82" s="17" t="inlineStr">
        <is>
          <t>https://leetcode.com/problems/validate-bst/</t>
        </is>
      </c>
      <c r="G82" s="17" t="inlineStr">
        <is>
          <t>Not Started</t>
        </is>
      </c>
      <c r="H82" s="23" t="n"/>
      <c r="I82" s="17" t="inlineStr"/>
    </row>
    <row r="83" ht="30" customHeight="1">
      <c r="A83" s="13" t="n">
        <v>3</v>
      </c>
      <c r="B83" s="13" t="n">
        <v>105</v>
      </c>
      <c r="C83" s="13" t="inlineStr">
        <is>
          <t>Construct BT from Preorder and Inorder</t>
        </is>
      </c>
      <c r="D83" s="13" t="inlineStr">
        <is>
          <t>Medium</t>
        </is>
      </c>
      <c r="E83" s="13" t="inlineStr">
        <is>
          <t>Binary Tree &amp; DFS</t>
        </is>
      </c>
      <c r="F83" s="13" t="inlineStr">
        <is>
          <t>https://leetcode.com/problems/construct-bt-from-preorder-and-inorder/</t>
        </is>
      </c>
      <c r="G83" s="13" t="inlineStr">
        <is>
          <t>Not Started</t>
        </is>
      </c>
      <c r="H83" s="22" t="n"/>
      <c r="I83" s="13" t="inlineStr"/>
    </row>
    <row r="84" ht="30" customHeight="1">
      <c r="A84" s="17" t="n">
        <v>3</v>
      </c>
      <c r="B84" s="17" t="n">
        <v>106</v>
      </c>
      <c r="C84" s="17" t="inlineStr">
        <is>
          <t>Construct BT from Inorder and Postorder</t>
        </is>
      </c>
      <c r="D84" s="17" t="inlineStr">
        <is>
          <t>Medium</t>
        </is>
      </c>
      <c r="E84" s="17" t="inlineStr">
        <is>
          <t>Binary Tree &amp; DFS</t>
        </is>
      </c>
      <c r="F84" s="17" t="inlineStr">
        <is>
          <t>https://leetcode.com/problems/construct-bt-from-inorder-and-postorder/</t>
        </is>
      </c>
      <c r="G84" s="17" t="inlineStr">
        <is>
          <t>Not Started</t>
        </is>
      </c>
      <c r="H84" s="23" t="n"/>
      <c r="I84" s="17" t="inlineStr"/>
    </row>
    <row r="85" ht="30" customHeight="1">
      <c r="A85" s="13" t="n">
        <v>3</v>
      </c>
      <c r="B85" s="13" t="n">
        <v>114</v>
      </c>
      <c r="C85" s="13" t="inlineStr">
        <is>
          <t>Flatten BT to Linked List</t>
        </is>
      </c>
      <c r="D85" s="13" t="inlineStr">
        <is>
          <t>Medium</t>
        </is>
      </c>
      <c r="E85" s="13" t="inlineStr">
        <is>
          <t>Binary Tree &amp; DFS</t>
        </is>
      </c>
      <c r="F85" s="13" t="inlineStr">
        <is>
          <t>https://leetcode.com/problems/flatten-bt-to-linked-list/</t>
        </is>
      </c>
      <c r="G85" s="13" t="inlineStr">
        <is>
          <t>Not Started</t>
        </is>
      </c>
      <c r="H85" s="22" t="n"/>
      <c r="I85" s="13" t="inlineStr"/>
    </row>
    <row r="86" ht="30" customHeight="1">
      <c r="A86" s="17" t="n">
        <v>3</v>
      </c>
      <c r="B86" s="17" t="n">
        <v>116</v>
      </c>
      <c r="C86" s="17" t="inlineStr">
        <is>
          <t>Populating Next Right Pointers</t>
        </is>
      </c>
      <c r="D86" s="17" t="inlineStr">
        <is>
          <t>Medium</t>
        </is>
      </c>
      <c r="E86" s="17" t="inlineStr">
        <is>
          <t>Binary Tree &amp; BFS</t>
        </is>
      </c>
      <c r="F86" s="17" t="inlineStr">
        <is>
          <t>https://leetcode.com/problems/populating-next-right-pointers/</t>
        </is>
      </c>
      <c r="G86" s="17" t="inlineStr">
        <is>
          <t>Not Started</t>
        </is>
      </c>
      <c r="H86" s="23" t="n"/>
      <c r="I86" s="17" t="inlineStr"/>
    </row>
    <row r="87" ht="30" customHeight="1">
      <c r="A87" s="13" t="n">
        <v>3</v>
      </c>
      <c r="B87" s="13" t="n">
        <v>173</v>
      </c>
      <c r="C87" s="13" t="inlineStr">
        <is>
          <t>BST Iterator</t>
        </is>
      </c>
      <c r="D87" s="13" t="inlineStr">
        <is>
          <t>Medium</t>
        </is>
      </c>
      <c r="E87" s="13" t="inlineStr">
        <is>
          <t>BST</t>
        </is>
      </c>
      <c r="F87" s="13" t="inlineStr">
        <is>
          <t>https://leetcode.com/problems/bst-iterator/</t>
        </is>
      </c>
      <c r="G87" s="13" t="inlineStr">
        <is>
          <t>Not Started</t>
        </is>
      </c>
      <c r="H87" s="22" t="n"/>
      <c r="I87" s="13" t="inlineStr"/>
    </row>
    <row r="88" ht="30" customHeight="1">
      <c r="A88" s="17" t="n">
        <v>3</v>
      </c>
      <c r="B88" s="17" t="n">
        <v>199</v>
      </c>
      <c r="C88" s="17" t="inlineStr">
        <is>
          <t>BT Right Side View</t>
        </is>
      </c>
      <c r="D88" s="17" t="inlineStr">
        <is>
          <t>Medium</t>
        </is>
      </c>
      <c r="E88" s="17" t="inlineStr">
        <is>
          <t>Binary Tree &amp; BFS</t>
        </is>
      </c>
      <c r="F88" s="17" t="inlineStr">
        <is>
          <t>https://leetcode.com/problems/bt-right-side-view/</t>
        </is>
      </c>
      <c r="G88" s="17" t="inlineStr">
        <is>
          <t>Not Started</t>
        </is>
      </c>
      <c r="H88" s="23" t="n"/>
      <c r="I88" s="17" t="inlineStr"/>
    </row>
    <row r="89" ht="30" customHeight="1">
      <c r="A89" s="13" t="n">
        <v>3</v>
      </c>
      <c r="B89" s="13" t="n">
        <v>230</v>
      </c>
      <c r="C89" s="13" t="inlineStr">
        <is>
          <t>Kth Smallest Element in a BST</t>
        </is>
      </c>
      <c r="D89" s="13" t="inlineStr">
        <is>
          <t>Medium</t>
        </is>
      </c>
      <c r="E89" s="13" t="inlineStr">
        <is>
          <t>BST &amp; DFS</t>
        </is>
      </c>
      <c r="F89" s="13" t="inlineStr">
        <is>
          <t>https://leetcode.com/problems/kth-smallest-element-in-a-bst/</t>
        </is>
      </c>
      <c r="G89" s="13" t="inlineStr">
        <is>
          <t>Not Started</t>
        </is>
      </c>
      <c r="H89" s="22" t="n"/>
      <c r="I89" s="13" t="inlineStr"/>
    </row>
    <row r="90" ht="30" customHeight="1">
      <c r="A90" s="17" t="n">
        <v>3</v>
      </c>
      <c r="B90" s="17" t="n">
        <v>236</v>
      </c>
      <c r="C90" s="17" t="inlineStr">
        <is>
          <t>Lowest Common Ancestor of BT</t>
        </is>
      </c>
      <c r="D90" s="17" t="inlineStr">
        <is>
          <t>Medium</t>
        </is>
      </c>
      <c r="E90" s="17" t="inlineStr">
        <is>
          <t>Binary Tree &amp; DFS</t>
        </is>
      </c>
      <c r="F90" s="17" t="inlineStr">
        <is>
          <t>https://leetcode.com/problems/lowest-common-ancestor-of-bt/</t>
        </is>
      </c>
      <c r="G90" s="17" t="inlineStr">
        <is>
          <t>Not Started</t>
        </is>
      </c>
      <c r="H90" s="23" t="n"/>
      <c r="I90" s="17" t="inlineStr"/>
    </row>
    <row r="91" ht="30" customHeight="1">
      <c r="A91" s="13" t="n">
        <v>3</v>
      </c>
      <c r="B91" s="13" t="n">
        <v>108</v>
      </c>
      <c r="C91" s="13" t="inlineStr">
        <is>
          <t>Convert Sorted Array to BST</t>
        </is>
      </c>
      <c r="D91" s="13" t="inlineStr">
        <is>
          <t>Easy</t>
        </is>
      </c>
      <c r="E91" s="13" t="inlineStr">
        <is>
          <t>BST &amp; Binary Search</t>
        </is>
      </c>
      <c r="F91" s="13" t="inlineStr">
        <is>
          <t>https://leetcode.com/problems/convert-sorted-array-to-bst/</t>
        </is>
      </c>
      <c r="G91" s="13" t="inlineStr">
        <is>
          <t>Not Started</t>
        </is>
      </c>
      <c r="H91" s="22" t="n"/>
      <c r="I91" s="13" t="inlineStr"/>
    </row>
    <row r="92" ht="30" customHeight="1">
      <c r="A92" s="17" t="n">
        <v>3</v>
      </c>
      <c r="B92" s="17" t="n">
        <v>124</v>
      </c>
      <c r="C92" s="17" t="inlineStr">
        <is>
          <t>Binary Tree Maximum Path Sum</t>
        </is>
      </c>
      <c r="D92" s="17" t="inlineStr">
        <is>
          <t>Hard</t>
        </is>
      </c>
      <c r="E92" s="17" t="inlineStr">
        <is>
          <t>Binary Tree &amp; DFS</t>
        </is>
      </c>
      <c r="F92" s="17" t="inlineStr">
        <is>
          <t>https://leetcode.com/problems/binary-tree-maximum-path-sum/</t>
        </is>
      </c>
      <c r="G92" s="17" t="inlineStr">
        <is>
          <t>Not Started</t>
        </is>
      </c>
      <c r="H92" s="23" t="n"/>
      <c r="I92" s="17" t="inlineStr"/>
    </row>
    <row r="93" ht="30" customHeight="1">
      <c r="A93" s="13" t="n">
        <v>3</v>
      </c>
      <c r="B93" s="13" t="n">
        <v>297</v>
      </c>
      <c r="C93" s="13" t="inlineStr">
        <is>
          <t>Serialize and Deserialize BT</t>
        </is>
      </c>
      <c r="D93" s="13" t="inlineStr">
        <is>
          <t>Hard</t>
        </is>
      </c>
      <c r="E93" s="13" t="inlineStr">
        <is>
          <t>Binary Tree &amp; BFS &amp; DFS</t>
        </is>
      </c>
      <c r="F93" s="13" t="inlineStr">
        <is>
          <t>https://leetcode.com/problems/serialize-and-deserialize-bt/</t>
        </is>
      </c>
      <c r="G93" s="13" t="inlineStr">
        <is>
          <t>Not Started</t>
        </is>
      </c>
      <c r="H93" s="22" t="n"/>
      <c r="I93" s="13" t="inlineStr"/>
    </row>
    <row r="94" ht="30" customHeight="1">
      <c r="A94" s="17" t="n">
        <v>4</v>
      </c>
      <c r="B94" s="17" t="n">
        <v>200</v>
      </c>
      <c r="C94" s="17" t="inlineStr">
        <is>
          <t>Number of Islands</t>
        </is>
      </c>
      <c r="D94" s="17" t="inlineStr">
        <is>
          <t>Medium</t>
        </is>
      </c>
      <c r="E94" s="17" t="inlineStr">
        <is>
          <t>Graph &amp; BFS/DFS</t>
        </is>
      </c>
      <c r="F94" s="17" t="inlineStr">
        <is>
          <t>https://leetcode.com/problems/number-of-islands/</t>
        </is>
      </c>
      <c r="G94" s="17" t="inlineStr">
        <is>
          <t>Not Started</t>
        </is>
      </c>
      <c r="H94" s="23" t="n"/>
      <c r="I94" s="17" t="inlineStr"/>
    </row>
    <row r="95" ht="30" customHeight="1">
      <c r="A95" s="13" t="n">
        <v>4</v>
      </c>
      <c r="B95" s="13" t="n">
        <v>133</v>
      </c>
      <c r="C95" s="13" t="inlineStr">
        <is>
          <t>Clone Graph</t>
        </is>
      </c>
      <c r="D95" s="13" t="inlineStr">
        <is>
          <t>Medium</t>
        </is>
      </c>
      <c r="E95" s="13" t="inlineStr">
        <is>
          <t>Graph &amp; BFS/DFS</t>
        </is>
      </c>
      <c r="F95" s="13" t="inlineStr">
        <is>
          <t>https://leetcode.com/problems/clone-graph/</t>
        </is>
      </c>
      <c r="G95" s="13" t="inlineStr">
        <is>
          <t>Not Started</t>
        </is>
      </c>
      <c r="H95" s="22" t="n"/>
      <c r="I95" s="13" t="inlineStr"/>
    </row>
    <row r="96" ht="30" customHeight="1">
      <c r="A96" s="17" t="n">
        <v>4</v>
      </c>
      <c r="B96" s="17" t="n">
        <v>1971</v>
      </c>
      <c r="C96" s="17" t="inlineStr">
        <is>
          <t>Find if Path Exists in Graph</t>
        </is>
      </c>
      <c r="D96" s="17" t="inlineStr">
        <is>
          <t>Easy</t>
        </is>
      </c>
      <c r="E96" s="17" t="inlineStr">
        <is>
          <t>Graph &amp; BFS/DFS</t>
        </is>
      </c>
      <c r="F96" s="17" t="inlineStr">
        <is>
          <t>https://leetcode.com/problems/find-if-path-exists-in-graph/</t>
        </is>
      </c>
      <c r="G96" s="17" t="inlineStr">
        <is>
          <t>Not Started</t>
        </is>
      </c>
      <c r="H96" s="23" t="n"/>
      <c r="I96" s="17" t="inlineStr"/>
    </row>
    <row r="97" ht="30" customHeight="1">
      <c r="A97" s="13" t="n">
        <v>4</v>
      </c>
      <c r="B97" s="13" t="n">
        <v>695</v>
      </c>
      <c r="C97" s="13" t="inlineStr">
        <is>
          <t>Max Area of Island</t>
        </is>
      </c>
      <c r="D97" s="13" t="inlineStr">
        <is>
          <t>Medium</t>
        </is>
      </c>
      <c r="E97" s="13" t="inlineStr">
        <is>
          <t>Graph &amp; DFS &amp; Matrix</t>
        </is>
      </c>
      <c r="F97" s="13" t="inlineStr">
        <is>
          <t>https://leetcode.com/problems/max-area-of-island/</t>
        </is>
      </c>
      <c r="G97" s="13" t="inlineStr">
        <is>
          <t>Not Started</t>
        </is>
      </c>
      <c r="H97" s="22" t="n"/>
      <c r="I97" s="13" t="inlineStr"/>
    </row>
    <row r="98" ht="30" customHeight="1">
      <c r="A98" s="17" t="n">
        <v>4</v>
      </c>
      <c r="B98" s="17" t="n">
        <v>417</v>
      </c>
      <c r="C98" s="17" t="inlineStr">
        <is>
          <t>Pacific Atlantic Water Flow</t>
        </is>
      </c>
      <c r="D98" s="17" t="inlineStr">
        <is>
          <t>Medium</t>
        </is>
      </c>
      <c r="E98" s="17" t="inlineStr">
        <is>
          <t>Graph &amp; DFS &amp; Matrix</t>
        </is>
      </c>
      <c r="F98" s="17" t="inlineStr">
        <is>
          <t>https://leetcode.com/problems/pacific-atlantic-water-flow/</t>
        </is>
      </c>
      <c r="G98" s="17" t="inlineStr">
        <is>
          <t>Not Started</t>
        </is>
      </c>
      <c r="H98" s="23" t="n"/>
      <c r="I98" s="17" t="inlineStr"/>
    </row>
    <row r="99" ht="30" customHeight="1">
      <c r="A99" s="13" t="n">
        <v>4</v>
      </c>
      <c r="B99" s="13" t="n">
        <v>547</v>
      </c>
      <c r="C99" s="13" t="inlineStr">
        <is>
          <t>Number of Provinces</t>
        </is>
      </c>
      <c r="D99" s="13" t="inlineStr">
        <is>
          <t>Medium</t>
        </is>
      </c>
      <c r="E99" s="13" t="inlineStr">
        <is>
          <t>Graph &amp; DFS &amp; Union Find</t>
        </is>
      </c>
      <c r="F99" s="13" t="inlineStr">
        <is>
          <t>https://leetcode.com/problems/number-of-provinces/</t>
        </is>
      </c>
      <c r="G99" s="13" t="inlineStr">
        <is>
          <t>Not Started</t>
        </is>
      </c>
      <c r="H99" s="22" t="n"/>
      <c r="I99" s="13" t="inlineStr"/>
    </row>
    <row r="100" ht="30" customHeight="1">
      <c r="A100" s="17" t="n">
        <v>4</v>
      </c>
      <c r="B100" s="17" t="n">
        <v>207</v>
      </c>
      <c r="C100" s="17" t="inlineStr">
        <is>
          <t>Course Schedule</t>
        </is>
      </c>
      <c r="D100" s="17" t="inlineStr">
        <is>
          <t>Medium</t>
        </is>
      </c>
      <c r="E100" s="17" t="inlineStr">
        <is>
          <t>Graph &amp; Topological Sort</t>
        </is>
      </c>
      <c r="F100" s="17" t="inlineStr">
        <is>
          <t>https://leetcode.com/problems/course-schedule/</t>
        </is>
      </c>
      <c r="G100" s="17" t="inlineStr">
        <is>
          <t>Not Started</t>
        </is>
      </c>
      <c r="H100" s="23" t="n"/>
      <c r="I100" s="17" t="inlineStr"/>
    </row>
    <row r="101" ht="30" customHeight="1">
      <c r="A101" s="13" t="n">
        <v>4</v>
      </c>
      <c r="B101" s="13" t="n">
        <v>210</v>
      </c>
      <c r="C101" s="13" t="inlineStr">
        <is>
          <t>Course Schedule II</t>
        </is>
      </c>
      <c r="D101" s="13" t="inlineStr">
        <is>
          <t>Medium</t>
        </is>
      </c>
      <c r="E101" s="13" t="inlineStr">
        <is>
          <t>Graph &amp; Topological Sort</t>
        </is>
      </c>
      <c r="F101" s="13" t="inlineStr">
        <is>
          <t>https://leetcode.com/problems/course-schedule-ii/</t>
        </is>
      </c>
      <c r="G101" s="13" t="inlineStr">
        <is>
          <t>Not Started</t>
        </is>
      </c>
      <c r="H101" s="22" t="n"/>
      <c r="I101" s="13" t="inlineStr"/>
    </row>
    <row r="102" ht="30" customHeight="1">
      <c r="A102" s="17" t="n">
        <v>4</v>
      </c>
      <c r="B102" s="17" t="n">
        <v>785</v>
      </c>
      <c r="C102" s="17" t="inlineStr">
        <is>
          <t>Is Graph Bipartite</t>
        </is>
      </c>
      <c r="D102" s="17" t="inlineStr">
        <is>
          <t>Medium</t>
        </is>
      </c>
      <c r="E102" s="17" t="inlineStr">
        <is>
          <t>Graph &amp; BFS/DFS</t>
        </is>
      </c>
      <c r="F102" s="17" t="inlineStr">
        <is>
          <t>https://leetcode.com/problems/is-graph-bipartite/</t>
        </is>
      </c>
      <c r="G102" s="17" t="inlineStr">
        <is>
          <t>Not Started</t>
        </is>
      </c>
      <c r="H102" s="23" t="n"/>
      <c r="I102" s="17" t="inlineStr"/>
    </row>
    <row r="103" ht="30" customHeight="1">
      <c r="A103" s="13" t="n">
        <v>4</v>
      </c>
      <c r="B103" s="13" t="n">
        <v>743</v>
      </c>
      <c r="C103" s="13" t="inlineStr">
        <is>
          <t>Network Delay Time</t>
        </is>
      </c>
      <c r="D103" s="13" t="inlineStr">
        <is>
          <t>Medium</t>
        </is>
      </c>
      <c r="E103" s="13" t="inlineStr">
        <is>
          <t>Graph &amp; Heap</t>
        </is>
      </c>
      <c r="F103" s="13" t="inlineStr">
        <is>
          <t>https://leetcode.com/problems/network-delay-time/</t>
        </is>
      </c>
      <c r="G103" s="13" t="inlineStr">
        <is>
          <t>Not Started</t>
        </is>
      </c>
      <c r="H103" s="22" t="n"/>
      <c r="I103" s="13" t="inlineStr"/>
    </row>
    <row r="104" ht="30" customHeight="1">
      <c r="A104" s="17" t="n">
        <v>4</v>
      </c>
      <c r="B104" s="17" t="n">
        <v>787</v>
      </c>
      <c r="C104" s="17" t="inlineStr">
        <is>
          <t>Cheapest Flights Within K Stops</t>
        </is>
      </c>
      <c r="D104" s="17" t="inlineStr">
        <is>
          <t>Medium</t>
        </is>
      </c>
      <c r="E104" s="17" t="inlineStr">
        <is>
          <t>Graph &amp; DP</t>
        </is>
      </c>
      <c r="F104" s="17" t="inlineStr">
        <is>
          <t>https://leetcode.com/problems/cheapest-flights-within-k-stops/</t>
        </is>
      </c>
      <c r="G104" s="17" t="inlineStr">
        <is>
          <t>Not Started</t>
        </is>
      </c>
      <c r="H104" s="23" t="n"/>
      <c r="I104" s="17" t="inlineStr"/>
    </row>
    <row r="105" ht="30" customHeight="1">
      <c r="A105" s="13" t="n">
        <v>4</v>
      </c>
      <c r="B105" s="13" t="n">
        <v>1514</v>
      </c>
      <c r="C105" s="13" t="inlineStr">
        <is>
          <t>Path with Maximum Probability</t>
        </is>
      </c>
      <c r="D105" s="13" t="inlineStr">
        <is>
          <t>Medium</t>
        </is>
      </c>
      <c r="E105" s="13" t="inlineStr">
        <is>
          <t>Graph &amp; Heap</t>
        </is>
      </c>
      <c r="F105" s="13" t="inlineStr">
        <is>
          <t>https://leetcode.com/problems/path-with-maximum-probability/</t>
        </is>
      </c>
      <c r="G105" s="13" t="inlineStr">
        <is>
          <t>Not Started</t>
        </is>
      </c>
      <c r="H105" s="22" t="n"/>
      <c r="I105" s="13" t="inlineStr"/>
    </row>
    <row r="106" ht="30" customHeight="1">
      <c r="A106" s="17" t="n">
        <v>4</v>
      </c>
      <c r="B106" s="17" t="n">
        <v>684</v>
      </c>
      <c r="C106" s="17" t="inlineStr">
        <is>
          <t>Redundant Connection</t>
        </is>
      </c>
      <c r="D106" s="17" t="inlineStr">
        <is>
          <t>Medium</t>
        </is>
      </c>
      <c r="E106" s="17" t="inlineStr">
        <is>
          <t>Graph &amp; Union Find</t>
        </is>
      </c>
      <c r="F106" s="17" t="inlineStr">
        <is>
          <t>https://leetcode.com/problems/redundant-connection/</t>
        </is>
      </c>
      <c r="G106" s="17" t="inlineStr">
        <is>
          <t>Not Started</t>
        </is>
      </c>
      <c r="H106" s="23" t="n"/>
      <c r="I106" s="17" t="inlineStr"/>
    </row>
    <row r="107" ht="30" customHeight="1">
      <c r="A107" s="13" t="n">
        <v>4</v>
      </c>
      <c r="B107" s="13" t="n">
        <v>1319</v>
      </c>
      <c r="C107" s="13" t="inlineStr">
        <is>
          <t>Number of Operations to Make Network Connected</t>
        </is>
      </c>
      <c r="D107" s="13" t="inlineStr">
        <is>
          <t>Medium</t>
        </is>
      </c>
      <c r="E107" s="13" t="inlineStr">
        <is>
          <t>Graph &amp; Union Find</t>
        </is>
      </c>
      <c r="F107" s="13" t="inlineStr">
        <is>
          <t>https://leetcode.com/problems/number-of-operations-to-make-network-connected/</t>
        </is>
      </c>
      <c r="G107" s="13" t="inlineStr">
        <is>
          <t>Not Started</t>
        </is>
      </c>
      <c r="H107" s="22" t="n"/>
      <c r="I107" s="13" t="inlineStr"/>
    </row>
    <row r="108" ht="30" customHeight="1">
      <c r="A108" s="17" t="n">
        <v>4</v>
      </c>
      <c r="B108" s="17" t="n">
        <v>310</v>
      </c>
      <c r="C108" s="17" t="inlineStr">
        <is>
          <t>Minimum Height Trees</t>
        </is>
      </c>
      <c r="D108" s="17" t="inlineStr">
        <is>
          <t>Medium</t>
        </is>
      </c>
      <c r="E108" s="17" t="inlineStr">
        <is>
          <t>Graph &amp; BFS &amp; Topological Sort</t>
        </is>
      </c>
      <c r="F108" s="17" t="inlineStr">
        <is>
          <t>https://leetcode.com/problems/minimum-height-trees/</t>
        </is>
      </c>
      <c r="G108" s="17" t="inlineStr">
        <is>
          <t>Not Started</t>
        </is>
      </c>
      <c r="H108" s="23" t="n"/>
      <c r="I108" s="17" t="inlineStr"/>
    </row>
    <row r="109" ht="30" customHeight="1">
      <c r="A109" s="13" t="n">
        <v>4</v>
      </c>
      <c r="B109" s="13" t="n">
        <v>435</v>
      </c>
      <c r="C109" s="13" t="inlineStr">
        <is>
          <t>Non-overlapping Intervals</t>
        </is>
      </c>
      <c r="D109" s="13" t="inlineStr">
        <is>
          <t>Medium</t>
        </is>
      </c>
      <c r="E109" s="13" t="inlineStr">
        <is>
          <t>Greedy &amp; Sorting</t>
        </is>
      </c>
      <c r="F109" s="13" t="inlineStr">
        <is>
          <t>https://leetcode.com/problems/non-overlapping-intervals/</t>
        </is>
      </c>
      <c r="G109" s="13" t="inlineStr">
        <is>
          <t>Not Started</t>
        </is>
      </c>
      <c r="H109" s="22" t="n"/>
      <c r="I109" s="13" t="inlineStr"/>
    </row>
    <row r="110" ht="30" customHeight="1">
      <c r="A110" s="17" t="n">
        <v>4</v>
      </c>
      <c r="B110" s="17" t="n">
        <v>452</v>
      </c>
      <c r="C110" s="17" t="inlineStr">
        <is>
          <t>Minimum Number of Arrows to Burst Balloons</t>
        </is>
      </c>
      <c r="D110" s="17" t="inlineStr">
        <is>
          <t>Medium</t>
        </is>
      </c>
      <c r="E110" s="17" t="inlineStr">
        <is>
          <t>Greedy &amp; Sorting</t>
        </is>
      </c>
      <c r="F110" s="17" t="inlineStr">
        <is>
          <t>https://leetcode.com/problems/minimum-number-of-arrows-to-burst-balloons/</t>
        </is>
      </c>
      <c r="G110" s="17" t="inlineStr">
        <is>
          <t>Not Started</t>
        </is>
      </c>
      <c r="H110" s="23" t="n"/>
      <c r="I110" s="17" t="inlineStr"/>
    </row>
    <row r="111" ht="30" customHeight="1">
      <c r="A111" s="13" t="n">
        <v>4</v>
      </c>
      <c r="B111" s="13" t="n">
        <v>56</v>
      </c>
      <c r="C111" s="13" t="inlineStr">
        <is>
          <t>Merge Intervals</t>
        </is>
      </c>
      <c r="D111" s="13" t="inlineStr">
        <is>
          <t>Medium</t>
        </is>
      </c>
      <c r="E111" s="13" t="inlineStr">
        <is>
          <t>Sorting &amp; Intervals</t>
        </is>
      </c>
      <c r="F111" s="13" t="inlineStr">
        <is>
          <t>https://leetcode.com/problems/merge-intervals/</t>
        </is>
      </c>
      <c r="G111" s="13" t="inlineStr">
        <is>
          <t>Not Started</t>
        </is>
      </c>
      <c r="H111" s="22" t="n"/>
      <c r="I111" s="13" t="inlineStr"/>
    </row>
    <row r="112" ht="30" customHeight="1">
      <c r="A112" s="17" t="n">
        <v>4</v>
      </c>
      <c r="B112" s="17" t="n">
        <v>134</v>
      </c>
      <c r="C112" s="17" t="inlineStr">
        <is>
          <t>Gas Station</t>
        </is>
      </c>
      <c r="D112" s="17" t="inlineStr">
        <is>
          <t>Medium</t>
        </is>
      </c>
      <c r="E112" s="17" t="inlineStr">
        <is>
          <t>Greedy</t>
        </is>
      </c>
      <c r="F112" s="17" t="inlineStr">
        <is>
          <t>https://leetcode.com/problems/gas-station/</t>
        </is>
      </c>
      <c r="G112" s="17" t="inlineStr">
        <is>
          <t>Not Started</t>
        </is>
      </c>
      <c r="H112" s="23" t="n"/>
      <c r="I112" s="17" t="inlineStr"/>
    </row>
    <row r="113" ht="30" customHeight="1">
      <c r="A113" s="13" t="n">
        <v>4</v>
      </c>
      <c r="B113" s="13" t="n">
        <v>621</v>
      </c>
      <c r="C113" s="13" t="inlineStr">
        <is>
          <t>Task Scheduler</t>
        </is>
      </c>
      <c r="D113" s="13" t="inlineStr">
        <is>
          <t>Medium</t>
        </is>
      </c>
      <c r="E113" s="13" t="inlineStr">
        <is>
          <t>Greedy &amp; Heap</t>
        </is>
      </c>
      <c r="F113" s="13" t="inlineStr">
        <is>
          <t>https://leetcode.com/problems/task-scheduler/</t>
        </is>
      </c>
      <c r="G113" s="13" t="inlineStr">
        <is>
          <t>Not Started</t>
        </is>
      </c>
      <c r="H113" s="22" t="n"/>
      <c r="I113" s="13" t="inlineStr"/>
    </row>
    <row r="114" ht="30" customHeight="1">
      <c r="A114" s="17" t="n">
        <v>5</v>
      </c>
      <c r="B114" s="17" t="n">
        <v>198</v>
      </c>
      <c r="C114" s="17" t="inlineStr">
        <is>
          <t>House Robber</t>
        </is>
      </c>
      <c r="D114" s="17" t="inlineStr">
        <is>
          <t>Medium</t>
        </is>
      </c>
      <c r="E114" s="17" t="inlineStr">
        <is>
          <t>DP</t>
        </is>
      </c>
      <c r="F114" s="17" t="inlineStr">
        <is>
          <t>https://leetcode.com/problems/house-robber/</t>
        </is>
      </c>
      <c r="G114" s="17" t="inlineStr">
        <is>
          <t>Not Started</t>
        </is>
      </c>
      <c r="H114" s="23" t="n"/>
      <c r="I114" s="17" t="inlineStr"/>
    </row>
    <row r="115" ht="30" customHeight="1">
      <c r="A115" s="13" t="n">
        <v>5</v>
      </c>
      <c r="B115" s="13" t="n">
        <v>213</v>
      </c>
      <c r="C115" s="13" t="inlineStr">
        <is>
          <t>House Robber II</t>
        </is>
      </c>
      <c r="D115" s="13" t="inlineStr">
        <is>
          <t>Medium</t>
        </is>
      </c>
      <c r="E115" s="13" t="inlineStr">
        <is>
          <t>DP</t>
        </is>
      </c>
      <c r="F115" s="13" t="inlineStr">
        <is>
          <t>https://leetcode.com/problems/house-robber-ii/</t>
        </is>
      </c>
      <c r="G115" s="13" t="inlineStr">
        <is>
          <t>Not Started</t>
        </is>
      </c>
      <c r="H115" s="22" t="n"/>
      <c r="I115" s="13" t="inlineStr"/>
    </row>
    <row r="116" ht="30" customHeight="1">
      <c r="A116" s="17" t="n">
        <v>5</v>
      </c>
      <c r="B116" s="17" t="n">
        <v>746</v>
      </c>
      <c r="C116" s="17" t="inlineStr">
        <is>
          <t>Min Cost Climbing Stairs</t>
        </is>
      </c>
      <c r="D116" s="17" t="inlineStr">
        <is>
          <t>Easy</t>
        </is>
      </c>
      <c r="E116" s="17" t="inlineStr">
        <is>
          <t>DP</t>
        </is>
      </c>
      <c r="F116" s="17" t="inlineStr">
        <is>
          <t>https://leetcode.com/problems/min-cost-climbing-stairs/</t>
        </is>
      </c>
      <c r="G116" s="17" t="inlineStr">
        <is>
          <t>Not Started</t>
        </is>
      </c>
      <c r="H116" s="23" t="n"/>
      <c r="I116" s="17" t="inlineStr"/>
    </row>
    <row r="117" ht="30" customHeight="1">
      <c r="A117" s="13" t="n">
        <v>5</v>
      </c>
      <c r="B117" s="13" t="n">
        <v>740</v>
      </c>
      <c r="C117" s="13" t="inlineStr">
        <is>
          <t>Delete and Earn</t>
        </is>
      </c>
      <c r="D117" s="13" t="inlineStr">
        <is>
          <t>Medium</t>
        </is>
      </c>
      <c r="E117" s="13" t="inlineStr">
        <is>
          <t>DP</t>
        </is>
      </c>
      <c r="F117" s="13" t="inlineStr">
        <is>
          <t>https://leetcode.com/problems/delete-and-earn/</t>
        </is>
      </c>
      <c r="G117" s="13" t="inlineStr">
        <is>
          <t>Not Started</t>
        </is>
      </c>
      <c r="H117" s="22" t="n"/>
      <c r="I117" s="13" t="inlineStr"/>
    </row>
    <row r="118" ht="30" customHeight="1">
      <c r="A118" s="17" t="n">
        <v>5</v>
      </c>
      <c r="B118" s="17" t="n">
        <v>152</v>
      </c>
      <c r="C118" s="17" t="inlineStr">
        <is>
          <t>Maximum Product Subarray</t>
        </is>
      </c>
      <c r="D118" s="17" t="inlineStr">
        <is>
          <t>Medium</t>
        </is>
      </c>
      <c r="E118" s="17" t="inlineStr">
        <is>
          <t>DP &amp; Arrays</t>
        </is>
      </c>
      <c r="F118" s="17" t="inlineStr">
        <is>
          <t>https://leetcode.com/problems/maximum-product-subarray/</t>
        </is>
      </c>
      <c r="G118" s="17" t="inlineStr">
        <is>
          <t>Not Started</t>
        </is>
      </c>
      <c r="H118" s="23" t="n"/>
      <c r="I118" s="17" t="inlineStr"/>
    </row>
    <row r="119" ht="30" customHeight="1">
      <c r="A119" s="13" t="n">
        <v>5</v>
      </c>
      <c r="B119" s="13" t="n">
        <v>45</v>
      </c>
      <c r="C119" s="13" t="inlineStr">
        <is>
          <t>Jump Game II</t>
        </is>
      </c>
      <c r="D119" s="13" t="inlineStr">
        <is>
          <t>Medium</t>
        </is>
      </c>
      <c r="E119" s="13" t="inlineStr">
        <is>
          <t>DP &amp; Greedy</t>
        </is>
      </c>
      <c r="F119" s="13" t="inlineStr">
        <is>
          <t>https://leetcode.com/problems/jump-game-ii/</t>
        </is>
      </c>
      <c r="G119" s="13" t="inlineStr">
        <is>
          <t>Not Started</t>
        </is>
      </c>
      <c r="H119" s="22" t="n"/>
      <c r="I119" s="13" t="inlineStr"/>
    </row>
    <row r="120" ht="30" customHeight="1">
      <c r="A120" s="17" t="n">
        <v>5</v>
      </c>
      <c r="B120" s="17" t="n">
        <v>55</v>
      </c>
      <c r="C120" s="17" t="inlineStr">
        <is>
          <t>Jump Game</t>
        </is>
      </c>
      <c r="D120" s="17" t="inlineStr">
        <is>
          <t>Medium</t>
        </is>
      </c>
      <c r="E120" s="17" t="inlineStr">
        <is>
          <t>DP &amp; Greedy</t>
        </is>
      </c>
      <c r="F120" s="17" t="inlineStr">
        <is>
          <t>https://leetcode.com/problems/jump-game/</t>
        </is>
      </c>
      <c r="G120" s="17" t="inlineStr">
        <is>
          <t>Not Started</t>
        </is>
      </c>
      <c r="H120" s="23" t="n"/>
      <c r="I120" s="17" t="inlineStr"/>
    </row>
    <row r="121" ht="30" customHeight="1">
      <c r="A121" s="13" t="n">
        <v>5</v>
      </c>
      <c r="B121" s="13" t="n">
        <v>91</v>
      </c>
      <c r="C121" s="13" t="inlineStr">
        <is>
          <t>Decode Ways</t>
        </is>
      </c>
      <c r="D121" s="13" t="inlineStr">
        <is>
          <t>Medium</t>
        </is>
      </c>
      <c r="E121" s="13" t="inlineStr">
        <is>
          <t>DP &amp; Strings</t>
        </is>
      </c>
      <c r="F121" s="13" t="inlineStr">
        <is>
          <t>https://leetcode.com/problems/decode-ways/</t>
        </is>
      </c>
      <c r="G121" s="13" t="inlineStr">
        <is>
          <t>Not Started</t>
        </is>
      </c>
      <c r="H121" s="22" t="n"/>
      <c r="I121" s="13" t="inlineStr"/>
    </row>
    <row r="122" ht="30" customHeight="1">
      <c r="A122" s="17" t="n">
        <v>5</v>
      </c>
      <c r="B122" s="17" t="n">
        <v>139</v>
      </c>
      <c r="C122" s="17" t="inlineStr">
        <is>
          <t>Word Break</t>
        </is>
      </c>
      <c r="D122" s="17" t="inlineStr">
        <is>
          <t>Medium</t>
        </is>
      </c>
      <c r="E122" s="17" t="inlineStr">
        <is>
          <t>DP &amp; Strings</t>
        </is>
      </c>
      <c r="F122" s="17" t="inlineStr">
        <is>
          <t>https://leetcode.com/problems/word-break/</t>
        </is>
      </c>
      <c r="G122" s="17" t="inlineStr">
        <is>
          <t>Not Started</t>
        </is>
      </c>
      <c r="H122" s="23" t="n"/>
      <c r="I122" s="17" t="inlineStr"/>
    </row>
    <row r="123" ht="30" customHeight="1">
      <c r="A123" s="13" t="n">
        <v>5</v>
      </c>
      <c r="B123" s="13" t="n">
        <v>322</v>
      </c>
      <c r="C123" s="13" t="inlineStr">
        <is>
          <t>Coin Change</t>
        </is>
      </c>
      <c r="D123" s="13" t="inlineStr">
        <is>
          <t>Medium</t>
        </is>
      </c>
      <c r="E123" s="13" t="inlineStr">
        <is>
          <t>DP</t>
        </is>
      </c>
      <c r="F123" s="13" t="inlineStr">
        <is>
          <t>https://leetcode.com/problems/coin-change/</t>
        </is>
      </c>
      <c r="G123" s="13" t="inlineStr">
        <is>
          <t>Not Started</t>
        </is>
      </c>
      <c r="H123" s="22" t="n"/>
      <c r="I123" s="13" t="inlineStr"/>
    </row>
    <row r="124" ht="30" customHeight="1">
      <c r="A124" s="17" t="n">
        <v>5</v>
      </c>
      <c r="B124" s="17" t="n">
        <v>377</v>
      </c>
      <c r="C124" s="17" t="inlineStr">
        <is>
          <t>Combination Sum IV</t>
        </is>
      </c>
      <c r="D124" s="17" t="inlineStr">
        <is>
          <t>Medium</t>
        </is>
      </c>
      <c r="E124" s="17" t="inlineStr">
        <is>
          <t>DP</t>
        </is>
      </c>
      <c r="F124" s="17" t="inlineStr">
        <is>
          <t>https://leetcode.com/problems/combination-sum-iv/</t>
        </is>
      </c>
      <c r="G124" s="17" t="inlineStr">
        <is>
          <t>Not Started</t>
        </is>
      </c>
      <c r="H124" s="23" t="n"/>
      <c r="I124" s="17" t="inlineStr"/>
    </row>
    <row r="125" ht="30" customHeight="1">
      <c r="A125" s="13" t="n">
        <v>5</v>
      </c>
      <c r="B125" s="13" t="n">
        <v>62</v>
      </c>
      <c r="C125" s="13" t="inlineStr">
        <is>
          <t>Unique Paths</t>
        </is>
      </c>
      <c r="D125" s="13" t="inlineStr">
        <is>
          <t>Medium</t>
        </is>
      </c>
      <c r="E125" s="13" t="inlineStr">
        <is>
          <t>DP &amp; Matrix</t>
        </is>
      </c>
      <c r="F125" s="13" t="inlineStr">
        <is>
          <t>https://leetcode.com/problems/unique-paths/</t>
        </is>
      </c>
      <c r="G125" s="13" t="inlineStr">
        <is>
          <t>Not Started</t>
        </is>
      </c>
      <c r="H125" s="22" t="n"/>
      <c r="I125" s="13" t="inlineStr"/>
    </row>
    <row r="126" ht="30" customHeight="1">
      <c r="A126" s="17" t="n">
        <v>5</v>
      </c>
      <c r="B126" s="17" t="n">
        <v>63</v>
      </c>
      <c r="C126" s="17" t="inlineStr">
        <is>
          <t>Unique Paths II</t>
        </is>
      </c>
      <c r="D126" s="17" t="inlineStr">
        <is>
          <t>Medium</t>
        </is>
      </c>
      <c r="E126" s="17" t="inlineStr">
        <is>
          <t>DP &amp; Matrix</t>
        </is>
      </c>
      <c r="F126" s="17" t="inlineStr">
        <is>
          <t>https://leetcode.com/problems/unique-paths-ii/</t>
        </is>
      </c>
      <c r="G126" s="17" t="inlineStr">
        <is>
          <t>Not Started</t>
        </is>
      </c>
      <c r="H126" s="23" t="n"/>
      <c r="I126" s="17" t="inlineStr"/>
    </row>
    <row r="127" ht="30" customHeight="1">
      <c r="A127" s="13" t="n">
        <v>5</v>
      </c>
      <c r="B127" s="13" t="n">
        <v>64</v>
      </c>
      <c r="C127" s="13" t="inlineStr">
        <is>
          <t>Minimum Path Sum</t>
        </is>
      </c>
      <c r="D127" s="13" t="inlineStr">
        <is>
          <t>Medium</t>
        </is>
      </c>
      <c r="E127" s="13" t="inlineStr">
        <is>
          <t>DP &amp; Matrix</t>
        </is>
      </c>
      <c r="F127" s="13" t="inlineStr">
        <is>
          <t>https://leetcode.com/problems/minimum-path-sum/</t>
        </is>
      </c>
      <c r="G127" s="13" t="inlineStr">
        <is>
          <t>Not Started</t>
        </is>
      </c>
      <c r="H127" s="22" t="n"/>
      <c r="I127" s="13" t="inlineStr"/>
    </row>
    <row r="128" ht="30" customHeight="1">
      <c r="A128" s="17" t="n">
        <v>5</v>
      </c>
      <c r="B128" s="17" t="n">
        <v>120</v>
      </c>
      <c r="C128" s="17" t="inlineStr">
        <is>
          <t>Triangle</t>
        </is>
      </c>
      <c r="D128" s="17" t="inlineStr">
        <is>
          <t>Medium</t>
        </is>
      </c>
      <c r="E128" s="17" t="inlineStr">
        <is>
          <t>DP</t>
        </is>
      </c>
      <c r="F128" s="17" t="inlineStr">
        <is>
          <t>https://leetcode.com/problems/triangle/</t>
        </is>
      </c>
      <c r="G128" s="17" t="inlineStr">
        <is>
          <t>Not Started</t>
        </is>
      </c>
      <c r="H128" s="23" t="n"/>
      <c r="I128" s="17" t="inlineStr"/>
    </row>
    <row r="129" ht="30" customHeight="1">
      <c r="A129" s="13" t="n">
        <v>5</v>
      </c>
      <c r="B129" s="13" t="n">
        <v>416</v>
      </c>
      <c r="C129" s="13" t="inlineStr">
        <is>
          <t>Partition Equal Subset Sum</t>
        </is>
      </c>
      <c r="D129" s="13" t="inlineStr">
        <is>
          <t>Medium</t>
        </is>
      </c>
      <c r="E129" s="13" t="inlineStr">
        <is>
          <t>DP</t>
        </is>
      </c>
      <c r="F129" s="13" t="inlineStr">
        <is>
          <t>https://leetcode.com/problems/partition-equal-subset-sum/</t>
        </is>
      </c>
      <c r="G129" s="13" t="inlineStr">
        <is>
          <t>Not Started</t>
        </is>
      </c>
      <c r="H129" s="22" t="n"/>
      <c r="I129" s="13" t="inlineStr"/>
    </row>
    <row r="130" ht="30" customHeight="1">
      <c r="A130" s="17" t="n">
        <v>5</v>
      </c>
      <c r="B130" s="17" t="n">
        <v>1049</v>
      </c>
      <c r="C130" s="17" t="inlineStr">
        <is>
          <t>Last Stone Weight II</t>
        </is>
      </c>
      <c r="D130" s="17" t="inlineStr">
        <is>
          <t>Medium</t>
        </is>
      </c>
      <c r="E130" s="17" t="inlineStr">
        <is>
          <t>DP</t>
        </is>
      </c>
      <c r="F130" s="17" t="inlineStr">
        <is>
          <t>https://leetcode.com/problems/last-stone-weight-ii/</t>
        </is>
      </c>
      <c r="G130" s="17" t="inlineStr">
        <is>
          <t>Not Started</t>
        </is>
      </c>
      <c r="H130" s="23" t="n"/>
      <c r="I130" s="17" t="inlineStr"/>
    </row>
    <row r="131" ht="30" customHeight="1">
      <c r="A131" s="13" t="n">
        <v>5</v>
      </c>
      <c r="B131" s="13" t="n">
        <v>1143</v>
      </c>
      <c r="C131" s="13" t="inlineStr">
        <is>
          <t>Longest Common Subsequence</t>
        </is>
      </c>
      <c r="D131" s="13" t="inlineStr">
        <is>
          <t>Medium</t>
        </is>
      </c>
      <c r="E131" s="13" t="inlineStr">
        <is>
          <t>DP &amp; Strings</t>
        </is>
      </c>
      <c r="F131" s="13" t="inlineStr">
        <is>
          <t>https://leetcode.com/problems/longest-common-subsequence/</t>
        </is>
      </c>
      <c r="G131" s="13" t="inlineStr">
        <is>
          <t>Not Started</t>
        </is>
      </c>
      <c r="H131" s="22" t="n"/>
      <c r="I131" s="13" t="inlineStr"/>
    </row>
    <row r="132" ht="30" customHeight="1">
      <c r="A132" s="17" t="n">
        <v>5</v>
      </c>
      <c r="B132" s="17" t="n">
        <v>72</v>
      </c>
      <c r="C132" s="17" t="inlineStr">
        <is>
          <t>Edit Distance</t>
        </is>
      </c>
      <c r="D132" s="17" t="inlineStr">
        <is>
          <t>Medium</t>
        </is>
      </c>
      <c r="E132" s="17" t="inlineStr">
        <is>
          <t>DP &amp; Strings</t>
        </is>
      </c>
      <c r="F132" s="17" t="inlineStr">
        <is>
          <t>https://leetcode.com/problems/edit-distance/</t>
        </is>
      </c>
      <c r="G132" s="17" t="inlineStr">
        <is>
          <t>Not Started</t>
        </is>
      </c>
      <c r="H132" s="23" t="n"/>
      <c r="I132" s="17" t="inlineStr"/>
    </row>
    <row r="133" ht="30" customHeight="1">
      <c r="A133" s="13" t="n">
        <v>5</v>
      </c>
      <c r="B133" s="13" t="n">
        <v>583</v>
      </c>
      <c r="C133" s="13" t="inlineStr">
        <is>
          <t>Delete Operation for Two Strings</t>
        </is>
      </c>
      <c r="D133" s="13" t="inlineStr">
        <is>
          <t>Medium</t>
        </is>
      </c>
      <c r="E133" s="13" t="inlineStr">
        <is>
          <t>DP &amp; Strings</t>
        </is>
      </c>
      <c r="F133" s="13" t="inlineStr">
        <is>
          <t>https://leetcode.com/problems/delete-operation-for-two-strings/</t>
        </is>
      </c>
      <c r="G133" s="13" t="inlineStr">
        <is>
          <t>Not Started</t>
        </is>
      </c>
      <c r="H133" s="22" t="n"/>
      <c r="I133" s="13" t="inlineStr"/>
    </row>
    <row r="134" ht="30" customHeight="1">
      <c r="A134" s="17" t="n">
        <v>5</v>
      </c>
      <c r="B134" s="17" t="n">
        <v>5</v>
      </c>
      <c r="C134" s="17" t="inlineStr">
        <is>
          <t>Longest Palindromic Substring</t>
        </is>
      </c>
      <c r="D134" s="17" t="inlineStr">
        <is>
          <t>Medium</t>
        </is>
      </c>
      <c r="E134" s="17" t="inlineStr">
        <is>
          <t>DP &amp; Strings</t>
        </is>
      </c>
      <c r="F134" s="17" t="inlineStr">
        <is>
          <t>https://leetcode.com/problems/longest-palindromic-substring/</t>
        </is>
      </c>
      <c r="G134" s="17" t="inlineStr">
        <is>
          <t>Not Started</t>
        </is>
      </c>
      <c r="H134" s="23" t="n"/>
      <c r="I134" s="17" t="inlineStr"/>
    </row>
    <row r="135" ht="30" customHeight="1">
      <c r="A135" s="13" t="n">
        <v>5</v>
      </c>
      <c r="B135" s="13" t="n">
        <v>516</v>
      </c>
      <c r="C135" s="13" t="inlineStr">
        <is>
          <t>Longest Palindromic Subsequence</t>
        </is>
      </c>
      <c r="D135" s="13" t="inlineStr">
        <is>
          <t>Medium</t>
        </is>
      </c>
      <c r="E135" s="13" t="inlineStr">
        <is>
          <t>DP &amp; Strings</t>
        </is>
      </c>
      <c r="F135" s="13" t="inlineStr">
        <is>
          <t>https://leetcode.com/problems/longest-palindromic-subsequence/</t>
        </is>
      </c>
      <c r="G135" s="13" t="inlineStr">
        <is>
          <t>Not Started</t>
        </is>
      </c>
      <c r="H135" s="22" t="n"/>
      <c r="I135" s="13" t="inlineStr"/>
    </row>
    <row r="136" ht="30" customHeight="1">
      <c r="A136" s="17" t="n">
        <v>5</v>
      </c>
      <c r="B136" s="17" t="n">
        <v>647</v>
      </c>
      <c r="C136" s="17" t="inlineStr">
        <is>
          <t>Palindromic Substrings</t>
        </is>
      </c>
      <c r="D136" s="17" t="inlineStr">
        <is>
          <t>Medium</t>
        </is>
      </c>
      <c r="E136" s="17" t="inlineStr">
        <is>
          <t>DP &amp; Strings</t>
        </is>
      </c>
      <c r="F136" s="17" t="inlineStr">
        <is>
          <t>https://leetcode.com/problems/palindromic-substrings/</t>
        </is>
      </c>
      <c r="G136" s="17" t="inlineStr">
        <is>
          <t>Not Started</t>
        </is>
      </c>
      <c r="H136" s="23" t="n"/>
      <c r="I136" s="17" t="inlineStr"/>
    </row>
    <row r="137" ht="30" customHeight="1">
      <c r="A137" s="13" t="n">
        <v>5</v>
      </c>
      <c r="B137" s="13" t="n">
        <v>132</v>
      </c>
      <c r="C137" s="13" t="inlineStr">
        <is>
          <t>Palindrome Partitioning II</t>
        </is>
      </c>
      <c r="D137" s="13" t="inlineStr">
        <is>
          <t>Hard</t>
        </is>
      </c>
      <c r="E137" s="13" t="inlineStr">
        <is>
          <t>DP &amp; Strings</t>
        </is>
      </c>
      <c r="F137" s="13" t="inlineStr">
        <is>
          <t>https://leetcode.com/problems/palindrome-partitioning-ii/</t>
        </is>
      </c>
      <c r="G137" s="13" t="inlineStr">
        <is>
          <t>Not Started</t>
        </is>
      </c>
      <c r="H137" s="22" t="n"/>
      <c r="I137" s="13" t="inlineStr"/>
    </row>
    <row r="138" ht="30" customHeight="1">
      <c r="A138" s="17" t="n">
        <v>5</v>
      </c>
      <c r="B138" s="17" t="n">
        <v>312</v>
      </c>
      <c r="C138" s="17" t="inlineStr">
        <is>
          <t>Burst Balloons</t>
        </is>
      </c>
      <c r="D138" s="17" t="inlineStr">
        <is>
          <t>Hard</t>
        </is>
      </c>
      <c r="E138" s="17" t="inlineStr">
        <is>
          <t>DP &amp; Intervals</t>
        </is>
      </c>
      <c r="F138" s="17" t="inlineStr">
        <is>
          <t>https://leetcode.com/problems/burst-balloons/</t>
        </is>
      </c>
      <c r="G138" s="17" t="inlineStr">
        <is>
          <t>Not Started</t>
        </is>
      </c>
      <c r="H138" s="23" t="n"/>
      <c r="I138" s="17" t="inlineStr"/>
    </row>
    <row r="139" ht="30" customHeight="1">
      <c r="A139" s="13" t="n">
        <v>5</v>
      </c>
      <c r="B139" s="13" t="n">
        <v>10</v>
      </c>
      <c r="C139" s="13" t="inlineStr">
        <is>
          <t>Regular Expression Matching</t>
        </is>
      </c>
      <c r="D139" s="13" t="inlineStr">
        <is>
          <t>Hard</t>
        </is>
      </c>
      <c r="E139" s="13" t="inlineStr">
        <is>
          <t>DP &amp; Strings</t>
        </is>
      </c>
      <c r="F139" s="13" t="inlineStr">
        <is>
          <t>https://leetcode.com/problems/regular-expression-matching/</t>
        </is>
      </c>
      <c r="G139" s="13" t="inlineStr">
        <is>
          <t>Not Started</t>
        </is>
      </c>
      <c r="H139" s="22" t="n"/>
      <c r="I139" s="13" t="inlineStr"/>
    </row>
    <row r="140" ht="30" customHeight="1">
      <c r="A140" s="17" t="n">
        <v>6</v>
      </c>
      <c r="B140" s="17" t="n">
        <v>78</v>
      </c>
      <c r="C140" s="17" t="inlineStr">
        <is>
          <t>Subsets</t>
        </is>
      </c>
      <c r="D140" s="17" t="inlineStr">
        <is>
          <t>Medium</t>
        </is>
      </c>
      <c r="E140" s="17" t="inlineStr">
        <is>
          <t>Backtracking &amp; Arrays</t>
        </is>
      </c>
      <c r="F140" s="17" t="inlineStr">
        <is>
          <t>https://leetcode.com/problems/subsets/</t>
        </is>
      </c>
      <c r="G140" s="17" t="inlineStr">
        <is>
          <t>Not Started</t>
        </is>
      </c>
      <c r="H140" s="23" t="n"/>
      <c r="I140" s="17" t="inlineStr"/>
    </row>
    <row r="141" ht="30" customHeight="1">
      <c r="A141" s="13" t="n">
        <v>6</v>
      </c>
      <c r="B141" s="13" t="n">
        <v>90</v>
      </c>
      <c r="C141" s="13" t="inlineStr">
        <is>
          <t>Subsets II</t>
        </is>
      </c>
      <c r="D141" s="13" t="inlineStr">
        <is>
          <t>Medium</t>
        </is>
      </c>
      <c r="E141" s="13" t="inlineStr">
        <is>
          <t>Backtracking &amp; Arrays</t>
        </is>
      </c>
      <c r="F141" s="13" t="inlineStr">
        <is>
          <t>https://leetcode.com/problems/subsets-ii/</t>
        </is>
      </c>
      <c r="G141" s="13" t="inlineStr">
        <is>
          <t>Not Started</t>
        </is>
      </c>
      <c r="H141" s="22" t="n"/>
      <c r="I141" s="13" t="inlineStr"/>
    </row>
    <row r="142" ht="30" customHeight="1">
      <c r="A142" s="17" t="n">
        <v>6</v>
      </c>
      <c r="B142" s="17" t="n">
        <v>46</v>
      </c>
      <c r="C142" s="17" t="inlineStr">
        <is>
          <t>Permutations</t>
        </is>
      </c>
      <c r="D142" s="17" t="inlineStr">
        <is>
          <t>Medium</t>
        </is>
      </c>
      <c r="E142" s="17" t="inlineStr">
        <is>
          <t>Backtracking</t>
        </is>
      </c>
      <c r="F142" s="17" t="inlineStr">
        <is>
          <t>https://leetcode.com/problems/permutations/</t>
        </is>
      </c>
      <c r="G142" s="17" t="inlineStr">
        <is>
          <t>Not Started</t>
        </is>
      </c>
      <c r="H142" s="23" t="n"/>
      <c r="I142" s="17" t="inlineStr"/>
    </row>
    <row r="143" ht="30" customHeight="1">
      <c r="A143" s="13" t="n">
        <v>6</v>
      </c>
      <c r="B143" s="13" t="n">
        <v>47</v>
      </c>
      <c r="C143" s="13" t="inlineStr">
        <is>
          <t>Permutations II</t>
        </is>
      </c>
      <c r="D143" s="13" t="inlineStr">
        <is>
          <t>Medium</t>
        </is>
      </c>
      <c r="E143" s="13" t="inlineStr">
        <is>
          <t>Backtracking</t>
        </is>
      </c>
      <c r="F143" s="13" t="inlineStr">
        <is>
          <t>https://leetcode.com/problems/permutations-ii/</t>
        </is>
      </c>
      <c r="G143" s="13" t="inlineStr">
        <is>
          <t>Not Started</t>
        </is>
      </c>
      <c r="H143" s="22" t="n"/>
      <c r="I143" s="13" t="inlineStr"/>
    </row>
    <row r="144" ht="30" customHeight="1">
      <c r="A144" s="17" t="n">
        <v>6</v>
      </c>
      <c r="B144" s="17" t="n">
        <v>77</v>
      </c>
      <c r="C144" s="17" t="inlineStr">
        <is>
          <t>Combinations</t>
        </is>
      </c>
      <c r="D144" s="17" t="inlineStr">
        <is>
          <t>Medium</t>
        </is>
      </c>
      <c r="E144" s="17" t="inlineStr">
        <is>
          <t>Backtracking</t>
        </is>
      </c>
      <c r="F144" s="17" t="inlineStr">
        <is>
          <t>https://leetcode.com/problems/combinations/</t>
        </is>
      </c>
      <c r="G144" s="17" t="inlineStr">
        <is>
          <t>Not Started</t>
        </is>
      </c>
      <c r="H144" s="23" t="n"/>
      <c r="I144" s="17" t="inlineStr"/>
    </row>
    <row r="145" ht="30" customHeight="1">
      <c r="A145" s="13" t="n">
        <v>6</v>
      </c>
      <c r="B145" s="13" t="n">
        <v>39</v>
      </c>
      <c r="C145" s="13" t="inlineStr">
        <is>
          <t>Combination Sum</t>
        </is>
      </c>
      <c r="D145" s="13" t="inlineStr">
        <is>
          <t>Medium</t>
        </is>
      </c>
      <c r="E145" s="13" t="inlineStr">
        <is>
          <t>Backtracking</t>
        </is>
      </c>
      <c r="F145" s="13" t="inlineStr">
        <is>
          <t>https://leetcode.com/problems/combination-sum/</t>
        </is>
      </c>
      <c r="G145" s="13" t="inlineStr">
        <is>
          <t>Not Started</t>
        </is>
      </c>
      <c r="H145" s="22" t="n"/>
      <c r="I145" s="13" t="inlineStr"/>
    </row>
    <row r="146" ht="30" customHeight="1">
      <c r="A146" s="17" t="n">
        <v>6</v>
      </c>
      <c r="B146" s="17" t="n">
        <v>40</v>
      </c>
      <c r="C146" s="17" t="inlineStr">
        <is>
          <t>Combination Sum II</t>
        </is>
      </c>
      <c r="D146" s="17" t="inlineStr">
        <is>
          <t>Medium</t>
        </is>
      </c>
      <c r="E146" s="17" t="inlineStr">
        <is>
          <t>Backtracking</t>
        </is>
      </c>
      <c r="F146" s="17" t="inlineStr">
        <is>
          <t>https://leetcode.com/problems/combination-sum-ii/</t>
        </is>
      </c>
      <c r="G146" s="17" t="inlineStr">
        <is>
          <t>Not Started</t>
        </is>
      </c>
      <c r="H146" s="23" t="n"/>
      <c r="I146" s="17" t="inlineStr"/>
    </row>
    <row r="147" ht="30" customHeight="1">
      <c r="A147" s="13" t="n">
        <v>6</v>
      </c>
      <c r="B147" s="13" t="n">
        <v>216</v>
      </c>
      <c r="C147" s="13" t="inlineStr">
        <is>
          <t>Combination Sum III</t>
        </is>
      </c>
      <c r="D147" s="13" t="inlineStr">
        <is>
          <t>Medium</t>
        </is>
      </c>
      <c r="E147" s="13" t="inlineStr">
        <is>
          <t>Backtracking</t>
        </is>
      </c>
      <c r="F147" s="13" t="inlineStr">
        <is>
          <t>https://leetcode.com/problems/combination-sum-iii/</t>
        </is>
      </c>
      <c r="G147" s="13" t="inlineStr">
        <is>
          <t>Not Started</t>
        </is>
      </c>
      <c r="H147" s="22" t="n"/>
      <c r="I147" s="13" t="inlineStr"/>
    </row>
    <row r="148" ht="30" customHeight="1">
      <c r="A148" s="17" t="n">
        <v>6</v>
      </c>
      <c r="B148" s="17" t="n">
        <v>22</v>
      </c>
      <c r="C148" s="17" t="inlineStr">
        <is>
          <t>Generate Parentheses</t>
        </is>
      </c>
      <c r="D148" s="17" t="inlineStr">
        <is>
          <t>Medium</t>
        </is>
      </c>
      <c r="E148" s="17" t="inlineStr">
        <is>
          <t>Backtracking &amp; Strings</t>
        </is>
      </c>
      <c r="F148" s="17" t="inlineStr">
        <is>
          <t>https://leetcode.com/problems/generate-parentheses/</t>
        </is>
      </c>
      <c r="G148" s="17" t="inlineStr">
        <is>
          <t>Not Started</t>
        </is>
      </c>
      <c r="H148" s="23" t="n"/>
      <c r="I148" s="17" t="inlineStr"/>
    </row>
    <row r="149" ht="30" customHeight="1">
      <c r="A149" s="13" t="n">
        <v>6</v>
      </c>
      <c r="B149" s="13" t="n">
        <v>131</v>
      </c>
      <c r="C149" s="13" t="inlineStr">
        <is>
          <t>Palindrome Partitioning</t>
        </is>
      </c>
      <c r="D149" s="13" t="inlineStr">
        <is>
          <t>Medium</t>
        </is>
      </c>
      <c r="E149" s="13" t="inlineStr">
        <is>
          <t>Backtracking &amp; Strings</t>
        </is>
      </c>
      <c r="F149" s="13" t="inlineStr">
        <is>
          <t>https://leetcode.com/problems/palindrome-partitioning/</t>
        </is>
      </c>
      <c r="G149" s="13" t="inlineStr">
        <is>
          <t>Not Started</t>
        </is>
      </c>
      <c r="H149" s="22" t="n"/>
      <c r="I149" s="13" t="inlineStr"/>
    </row>
    <row r="150" ht="30" customHeight="1">
      <c r="A150" s="17" t="n">
        <v>6</v>
      </c>
      <c r="B150" s="17" t="n">
        <v>93</v>
      </c>
      <c r="C150" s="17" t="inlineStr">
        <is>
          <t>Restore IP Addresses</t>
        </is>
      </c>
      <c r="D150" s="17" t="inlineStr">
        <is>
          <t>Medium</t>
        </is>
      </c>
      <c r="E150" s="17" t="inlineStr">
        <is>
          <t>Backtracking &amp; Strings</t>
        </is>
      </c>
      <c r="F150" s="17" t="inlineStr">
        <is>
          <t>https://leetcode.com/problems/restore-ip-addresses/</t>
        </is>
      </c>
      <c r="G150" s="17" t="inlineStr">
        <is>
          <t>Not Started</t>
        </is>
      </c>
      <c r="H150" s="23" t="n"/>
      <c r="I150" s="17" t="inlineStr"/>
    </row>
    <row r="151" ht="30" customHeight="1">
      <c r="A151" s="13" t="n">
        <v>6</v>
      </c>
      <c r="B151" s="13" t="n">
        <v>51</v>
      </c>
      <c r="C151" s="13" t="inlineStr">
        <is>
          <t>N-Queens</t>
        </is>
      </c>
      <c r="D151" s="13" t="inlineStr">
        <is>
          <t>Hard</t>
        </is>
      </c>
      <c r="E151" s="13" t="inlineStr">
        <is>
          <t>Backtracking &amp; Matrix</t>
        </is>
      </c>
      <c r="F151" s="13" t="inlineStr">
        <is>
          <t>https://leetcode.com/problems/n-queens/</t>
        </is>
      </c>
      <c r="G151" s="13" t="inlineStr">
        <is>
          <t>Not Started</t>
        </is>
      </c>
      <c r="H151" s="22" t="n"/>
      <c r="I151" s="13" t="inlineStr"/>
    </row>
    <row r="152" ht="30" customHeight="1">
      <c r="A152" s="17" t="n">
        <v>6</v>
      </c>
      <c r="B152" s="17" t="n">
        <v>52</v>
      </c>
      <c r="C152" s="17" t="inlineStr">
        <is>
          <t>N-Queens II</t>
        </is>
      </c>
      <c r="D152" s="17" t="inlineStr">
        <is>
          <t>Hard</t>
        </is>
      </c>
      <c r="E152" s="17" t="inlineStr">
        <is>
          <t>Backtracking</t>
        </is>
      </c>
      <c r="F152" s="17" t="inlineStr">
        <is>
          <t>https://leetcode.com/problems/n-queens-ii/</t>
        </is>
      </c>
      <c r="G152" s="17" t="inlineStr">
        <is>
          <t>Not Started</t>
        </is>
      </c>
      <c r="H152" s="23" t="n"/>
      <c r="I152" s="17" t="inlineStr"/>
    </row>
    <row r="153" ht="30" customHeight="1">
      <c r="A153" s="13" t="n">
        <v>6</v>
      </c>
      <c r="B153" s="13" t="n">
        <v>37</v>
      </c>
      <c r="C153" s="13" t="inlineStr">
        <is>
          <t>Sudoku Solver</t>
        </is>
      </c>
      <c r="D153" s="13" t="inlineStr">
        <is>
          <t>Hard</t>
        </is>
      </c>
      <c r="E153" s="13" t="inlineStr">
        <is>
          <t>Backtracking &amp; Matrix</t>
        </is>
      </c>
      <c r="F153" s="13" t="inlineStr">
        <is>
          <t>https://leetcode.com/problems/sudoku-solver/</t>
        </is>
      </c>
      <c r="G153" s="13" t="inlineStr">
        <is>
          <t>Not Started</t>
        </is>
      </c>
      <c r="H153" s="22" t="n"/>
      <c r="I153" s="13" t="inlineStr"/>
    </row>
    <row r="154" ht="30" customHeight="1">
      <c r="A154" s="17" t="n">
        <v>6</v>
      </c>
      <c r="B154" s="17" t="n">
        <v>79</v>
      </c>
      <c r="C154" s="17" t="inlineStr">
        <is>
          <t>Word Search</t>
        </is>
      </c>
      <c r="D154" s="17" t="inlineStr">
        <is>
          <t>Medium</t>
        </is>
      </c>
      <c r="E154" s="17" t="inlineStr">
        <is>
          <t>Backtracking &amp; Matrix</t>
        </is>
      </c>
      <c r="F154" s="17" t="inlineStr">
        <is>
          <t>https://leetcode.com/problems/word-search/</t>
        </is>
      </c>
      <c r="G154" s="17" t="inlineStr">
        <is>
          <t>Not Started</t>
        </is>
      </c>
      <c r="H154" s="23" t="n"/>
      <c r="I154" s="17" t="inlineStr"/>
    </row>
    <row r="155" ht="30" customHeight="1">
      <c r="A155" s="13" t="n">
        <v>6</v>
      </c>
      <c r="B155" s="13" t="n">
        <v>212</v>
      </c>
      <c r="C155" s="13" t="inlineStr">
        <is>
          <t>Word Search II</t>
        </is>
      </c>
      <c r="D155" s="13" t="inlineStr">
        <is>
          <t>Hard</t>
        </is>
      </c>
      <c r="E155" s="13" t="inlineStr">
        <is>
          <t>Backtracking &amp; Trie</t>
        </is>
      </c>
      <c r="F155" s="13" t="inlineStr">
        <is>
          <t>https://leetcode.com/problems/word-search-ii/</t>
        </is>
      </c>
      <c r="G155" s="13" t="inlineStr">
        <is>
          <t>Not Started</t>
        </is>
      </c>
      <c r="H155" s="22" t="n"/>
      <c r="I155" s="13" t="inlineStr"/>
    </row>
    <row r="156" ht="30" customHeight="1">
      <c r="A156" s="17" t="n">
        <v>7</v>
      </c>
      <c r="B156" s="17" t="n">
        <v>175</v>
      </c>
      <c r="C156" s="17" t="inlineStr">
        <is>
          <t>Combine Two Tables</t>
        </is>
      </c>
      <c r="D156" s="17" t="inlineStr">
        <is>
          <t>Easy</t>
        </is>
      </c>
      <c r="E156" s="17" t="inlineStr">
        <is>
          <t>SQL</t>
        </is>
      </c>
      <c r="F156" s="17" t="inlineStr">
        <is>
          <t>https://leetcode.com/problems/combine-two-tables/</t>
        </is>
      </c>
      <c r="G156" s="17" t="inlineStr">
        <is>
          <t>Not Started</t>
        </is>
      </c>
      <c r="H156" s="23" t="n"/>
      <c r="I156" s="17" t="inlineStr"/>
    </row>
    <row r="157" ht="30" customHeight="1">
      <c r="A157" s="13" t="n">
        <v>7</v>
      </c>
      <c r="B157" s="13" t="n">
        <v>176</v>
      </c>
      <c r="C157" s="13" t="inlineStr">
        <is>
          <t>Second Highest Salary</t>
        </is>
      </c>
      <c r="D157" s="13" t="inlineStr">
        <is>
          <t>Medium</t>
        </is>
      </c>
      <c r="E157" s="13" t="inlineStr">
        <is>
          <t>SQL</t>
        </is>
      </c>
      <c r="F157" s="13" t="inlineStr">
        <is>
          <t>https://leetcode.com/problems/second-highest-salary/</t>
        </is>
      </c>
      <c r="G157" s="13" t="inlineStr">
        <is>
          <t>Not Started</t>
        </is>
      </c>
      <c r="H157" s="22" t="n"/>
      <c r="I157" s="13" t="inlineStr"/>
    </row>
    <row r="158" ht="30" customHeight="1">
      <c r="A158" s="17" t="n">
        <v>7</v>
      </c>
      <c r="B158" s="17" t="n">
        <v>181</v>
      </c>
      <c r="C158" s="17" t="inlineStr">
        <is>
          <t>Employees Earning More Than Their Managers</t>
        </is>
      </c>
      <c r="D158" s="17" t="inlineStr">
        <is>
          <t>Easy</t>
        </is>
      </c>
      <c r="E158" s="17" t="inlineStr">
        <is>
          <t>SQL</t>
        </is>
      </c>
      <c r="F158" s="17" t="inlineStr">
        <is>
          <t>https://leetcode.com/problems/employees-earning-more-than-their-managers/</t>
        </is>
      </c>
      <c r="G158" s="17" t="inlineStr">
        <is>
          <t>Not Started</t>
        </is>
      </c>
      <c r="H158" s="23" t="n"/>
      <c r="I158" s="17" t="inlineStr"/>
    </row>
    <row r="159" ht="30" customHeight="1">
      <c r="A159" s="13" t="n">
        <v>7</v>
      </c>
      <c r="B159" s="13" t="n">
        <v>182</v>
      </c>
      <c r="C159" s="13" t="inlineStr">
        <is>
          <t>Duplicate Emails</t>
        </is>
      </c>
      <c r="D159" s="13" t="inlineStr">
        <is>
          <t>Easy</t>
        </is>
      </c>
      <c r="E159" s="13" t="inlineStr">
        <is>
          <t>SQL</t>
        </is>
      </c>
      <c r="F159" s="13" t="inlineStr">
        <is>
          <t>https://leetcode.com/problems/duplicate-emails/</t>
        </is>
      </c>
      <c r="G159" s="13" t="inlineStr">
        <is>
          <t>Not Started</t>
        </is>
      </c>
      <c r="H159" s="22" t="n"/>
      <c r="I159" s="13" t="inlineStr"/>
    </row>
    <row r="160" ht="30" customHeight="1">
      <c r="A160" s="17" t="n">
        <v>7</v>
      </c>
      <c r="B160" s="17" t="n">
        <v>183</v>
      </c>
      <c r="C160" s="17" t="inlineStr">
        <is>
          <t>Customers Who Never Order</t>
        </is>
      </c>
      <c r="D160" s="17" t="inlineStr">
        <is>
          <t>Easy</t>
        </is>
      </c>
      <c r="E160" s="17" t="inlineStr">
        <is>
          <t>SQL</t>
        </is>
      </c>
      <c r="F160" s="17" t="inlineStr">
        <is>
          <t>https://leetcode.com/problems/customers-who-never-order/</t>
        </is>
      </c>
      <c r="G160" s="17" t="inlineStr">
        <is>
          <t>Not Started</t>
        </is>
      </c>
      <c r="H160" s="23" t="n"/>
      <c r="I160" s="17" t="inlineStr"/>
    </row>
    <row r="161" ht="30" customHeight="1">
      <c r="A161" s="13" t="n">
        <v>7</v>
      </c>
      <c r="B161" s="13" t="n">
        <v>196</v>
      </c>
      <c r="C161" s="13" t="inlineStr">
        <is>
          <t>Delete Duplicate Emails</t>
        </is>
      </c>
      <c r="D161" s="13" t="inlineStr">
        <is>
          <t>Easy</t>
        </is>
      </c>
      <c r="E161" s="13" t="inlineStr">
        <is>
          <t>SQL</t>
        </is>
      </c>
      <c r="F161" s="13" t="inlineStr">
        <is>
          <t>https://leetcode.com/problems/delete-duplicate-emails/</t>
        </is>
      </c>
      <c r="G161" s="13" t="inlineStr">
        <is>
          <t>Not Started</t>
        </is>
      </c>
      <c r="H161" s="22" t="n"/>
      <c r="I161" s="13" t="inlineStr"/>
    </row>
    <row r="162" ht="30" customHeight="1">
      <c r="A162" s="17" t="n">
        <v>7</v>
      </c>
      <c r="B162" s="17" t="n">
        <v>197</v>
      </c>
      <c r="C162" s="17" t="inlineStr">
        <is>
          <t>Rising Temperature</t>
        </is>
      </c>
      <c r="D162" s="17" t="inlineStr">
        <is>
          <t>Easy</t>
        </is>
      </c>
      <c r="E162" s="17" t="inlineStr">
        <is>
          <t>SQL</t>
        </is>
      </c>
      <c r="F162" s="17" t="inlineStr">
        <is>
          <t>https://leetcode.com/problems/rising-temperature/</t>
        </is>
      </c>
      <c r="G162" s="17" t="inlineStr">
        <is>
          <t>Not Started</t>
        </is>
      </c>
      <c r="H162" s="23" t="n"/>
      <c r="I162" s="17" t="inlineStr"/>
    </row>
    <row r="163" ht="30" customHeight="1">
      <c r="A163" s="13" t="n">
        <v>7</v>
      </c>
      <c r="B163" s="13" t="n">
        <v>177</v>
      </c>
      <c r="C163" s="13" t="inlineStr">
        <is>
          <t>Nth Highest Salary</t>
        </is>
      </c>
      <c r="D163" s="13" t="inlineStr">
        <is>
          <t>Medium</t>
        </is>
      </c>
      <c r="E163" s="13" t="inlineStr">
        <is>
          <t>SQL</t>
        </is>
      </c>
      <c r="F163" s="13" t="inlineStr">
        <is>
          <t>https://leetcode.com/problems/nth-highest-salary/</t>
        </is>
      </c>
      <c r="G163" s="13" t="inlineStr">
        <is>
          <t>Not Started</t>
        </is>
      </c>
      <c r="H163" s="22" t="n"/>
      <c r="I163" s="13" t="inlineStr"/>
    </row>
    <row r="164" ht="30" customHeight="1">
      <c r="A164" s="17" t="n">
        <v>7</v>
      </c>
      <c r="B164" s="17" t="n">
        <v>178</v>
      </c>
      <c r="C164" s="17" t="inlineStr">
        <is>
          <t>Rank Scores</t>
        </is>
      </c>
      <c r="D164" s="17" t="inlineStr">
        <is>
          <t>Medium</t>
        </is>
      </c>
      <c r="E164" s="17" t="inlineStr">
        <is>
          <t>SQL</t>
        </is>
      </c>
      <c r="F164" s="17" t="inlineStr">
        <is>
          <t>https://leetcode.com/problems/rank-scores/</t>
        </is>
      </c>
      <c r="G164" s="17" t="inlineStr">
        <is>
          <t>Not Started</t>
        </is>
      </c>
      <c r="H164" s="23" t="n"/>
      <c r="I164" s="17" t="inlineStr"/>
    </row>
    <row r="165" ht="30" customHeight="1">
      <c r="A165" s="13" t="n">
        <v>7</v>
      </c>
      <c r="B165" s="13" t="n">
        <v>184</v>
      </c>
      <c r="C165" s="13" t="inlineStr">
        <is>
          <t>Department Highest Salary</t>
        </is>
      </c>
      <c r="D165" s="13" t="inlineStr">
        <is>
          <t>Medium</t>
        </is>
      </c>
      <c r="E165" s="13" t="inlineStr">
        <is>
          <t>SQL</t>
        </is>
      </c>
      <c r="F165" s="13" t="inlineStr">
        <is>
          <t>https://leetcode.com/problems/department-highest-salary/</t>
        </is>
      </c>
      <c r="G165" s="13" t="inlineStr">
        <is>
          <t>Not Started</t>
        </is>
      </c>
      <c r="H165" s="22" t="n"/>
      <c r="I165" s="13" t="inlineStr"/>
    </row>
    <row r="166" ht="30" customHeight="1">
      <c r="A166" s="17" t="n">
        <v>7</v>
      </c>
      <c r="B166" s="17" t="n">
        <v>185</v>
      </c>
      <c r="C166" s="17" t="inlineStr">
        <is>
          <t>Department Top Three Salaries</t>
        </is>
      </c>
      <c r="D166" s="17" t="inlineStr">
        <is>
          <t>Hard</t>
        </is>
      </c>
      <c r="E166" s="17" t="inlineStr">
        <is>
          <t>SQL</t>
        </is>
      </c>
      <c r="F166" s="17" t="inlineStr">
        <is>
          <t>https://leetcode.com/problems/department-top-three-salaries/</t>
        </is>
      </c>
      <c r="G166" s="17" t="inlineStr">
        <is>
          <t>Not Started</t>
        </is>
      </c>
      <c r="H166" s="23" t="n"/>
      <c r="I166" s="17" t="inlineStr"/>
    </row>
  </sheetData>
  <autoFilter ref="A4:I166"/>
  <mergeCells count="2">
    <mergeCell ref="A1:I1"/>
    <mergeCell ref="A2:I2"/>
  </mergeCells>
  <conditionalFormatting sqref="D5:D166">
    <cfRule type="cellIs" priority="1" operator="equal" dxfId="2">
      <formula>"Easy"</formula>
    </cfRule>
    <cfRule type="cellIs" priority="2" operator="equal" dxfId="1">
      <formula>"Medium"</formula>
    </cfRule>
    <cfRule type="cellIs" priority="3" operator="equal" dxfId="3">
      <formula>"Hard"</formula>
    </cfRule>
  </conditionalFormatting>
  <conditionalFormatting sqref="G5:G166">
    <cfRule type="cellIs" priority="4" operator="equal" dxfId="0">
      <formula>"Not Started"</formula>
    </cfRule>
    <cfRule type="cellIs" priority="5" operator="equal" dxfId="1">
      <formula>"In Progress"</formula>
    </cfRule>
    <cfRule type="cellIs" priority="6" operator="equal" dxfId="2">
      <formula>"Complete"</formula>
    </cfRule>
    <cfRule type="cellIs" priority="7" operator="equal" dxfId="2">
      <formula>"Done"</formula>
    </cfRule>
    <cfRule type="cellIs" priority="8" operator="equal" dxfId="3">
      <formula>"Blocked"</formula>
    </cfRule>
    <cfRule type="cellIs" priority="9" operator="equal" dxfId="4">
      <formula>"Skipped"</formula>
    </cfRule>
  </conditionalFormatting>
  <dataValidations count="1">
    <dataValidation sqref="G5:G166" showDropDown="0" showInputMessage="0" showErrorMessage="0" allowBlank="1" type="list">
      <formula1>"Not Started,Attempted,Complete,Blocked"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45" customWidth="1" min="4" max="4"/>
    <col width="15" customWidth="1" min="5" max="5"/>
    <col width="60" customWidth="1" min="6" max="6"/>
  </cols>
  <sheetData>
    <row r="1" ht="36" customHeight="1">
      <c r="A1" s="1" t="inlineStr">
        <is>
          <t>Ranked Resources Library</t>
        </is>
      </c>
    </row>
    <row r="2" ht="20" customHeight="1">
      <c r="A2" s="2" t="inlineStr">
        <is>
          <t>Top-tier reference books, official documentation, courses, and playlists</t>
        </is>
      </c>
    </row>
    <row r="4" ht="32" customHeight="1">
      <c r="A4" s="12" t="inlineStr">
        <is>
          <t>Week #</t>
        </is>
      </c>
      <c r="B4" s="12" t="inlineStr">
        <is>
          <t>Resource Name</t>
        </is>
      </c>
      <c r="C4" s="12" t="inlineStr">
        <is>
          <t>Type</t>
        </is>
      </c>
      <c r="D4" s="12" t="inlineStr">
        <is>
          <t>Reference Link / URL</t>
        </is>
      </c>
      <c r="E4" s="12" t="inlineStr">
        <is>
          <t>Status</t>
        </is>
      </c>
      <c r="F4" s="12" t="inlineStr">
        <is>
          <t>Notes</t>
        </is>
      </c>
    </row>
    <row r="5" ht="30" customHeight="1">
      <c r="A5" s="13" t="n">
        <v>1</v>
      </c>
      <c r="B5" s="13" t="inlineStr">
        <is>
          <t>Python Official Tutorial</t>
        </is>
      </c>
      <c r="C5" s="13" t="inlineStr">
        <is>
          <t>Docs</t>
        </is>
      </c>
      <c r="D5" s="13" t="inlineStr">
        <is>
          <t>https://docs.python.org/3/tutorial</t>
        </is>
      </c>
      <c r="E5" s="13" t="inlineStr">
        <is>
          <t>Not Started</t>
        </is>
      </c>
      <c r="F5" s="13" t="inlineStr">
        <is>
          <t>Standard syntax guides, statements, and module systems.</t>
        </is>
      </c>
    </row>
    <row r="6" ht="30" customHeight="1">
      <c r="A6" s="17" t="n">
        <v>1</v>
      </c>
      <c r="B6" s="17" t="inlineStr">
        <is>
          <t>Corey Schafer Python (Videos 1-20)</t>
        </is>
      </c>
      <c r="C6" s="17" t="inlineStr">
        <is>
          <t>YouTube</t>
        </is>
      </c>
      <c r="D6" s="17" t="inlineStr">
        <is>
          <t>https://youtube.com/c/CoreySchafer</t>
        </is>
      </c>
      <c r="E6" s="17" t="inlineStr">
        <is>
          <t>Not Started</t>
        </is>
      </c>
      <c r="F6" s="17" t="inlineStr">
        <is>
          <t>Essential Python configurations, scope rules, and library modules.</t>
        </is>
      </c>
    </row>
    <row r="7" ht="30" customHeight="1">
      <c r="A7" s="13" t="n">
        <v>1</v>
      </c>
      <c r="B7" s="13" t="inlineStr">
        <is>
          <t>Fluent Python (Luciano Ramalho)</t>
        </is>
      </c>
      <c r="C7" s="13" t="inlineStr">
        <is>
          <t>Book</t>
        </is>
      </c>
      <c r="D7" s="13" t="inlineStr">
        <is>
          <t>https://www.oreilly.com/library/view/fluent-python-2nd/9781492056348/</t>
        </is>
      </c>
      <c r="E7" s="13" t="inlineStr">
        <is>
          <t>Not Started</t>
        </is>
      </c>
      <c r="F7" s="13" t="inlineStr">
        <is>
          <t>Pythonic protocols, data structures, and classes design models.</t>
        </is>
      </c>
    </row>
    <row r="8" ht="30" customHeight="1">
      <c r="A8" s="17" t="n">
        <v>1</v>
      </c>
      <c r="B8" s="17" t="inlineStr">
        <is>
          <t>Pro Git (Scott Chacon &amp; Ben Straub)</t>
        </is>
      </c>
      <c r="C8" s="17" t="inlineStr">
        <is>
          <t>Book</t>
        </is>
      </c>
      <c r="D8" s="17" t="inlineStr">
        <is>
          <t>https://git-scm.com/book</t>
        </is>
      </c>
      <c r="E8" s="17" t="inlineStr">
        <is>
          <t>Not Started</t>
        </is>
      </c>
      <c r="F8" s="17" t="inlineStr">
        <is>
          <t>Advanced branching model, local configurations, and internal mechanisms.</t>
        </is>
      </c>
    </row>
    <row r="9" ht="30" customHeight="1">
      <c r="A9" s="13" t="n">
        <v>2</v>
      </c>
      <c r="B9" s="13" t="inlineStr">
        <is>
          <t>OS: Three Easy Pieces (Arpaci-Dusseau)</t>
        </is>
      </c>
      <c r="C9" s="13" t="inlineStr">
        <is>
          <t>Book</t>
        </is>
      </c>
      <c r="D9" s="13" t="inlineStr">
        <is>
          <t>https://ostep.org</t>
        </is>
      </c>
      <c r="E9" s="13" t="inlineStr">
        <is>
          <t>Not Started</t>
        </is>
      </c>
      <c r="F9" s="13" t="inlineStr">
        <is>
          <t>Process cycles, threading synchronization locks, and CPU schedulers.</t>
        </is>
      </c>
    </row>
    <row r="10" ht="30" customHeight="1">
      <c r="A10" s="17" t="n">
        <v>2</v>
      </c>
      <c r="B10" s="17" t="inlineStr">
        <is>
          <t>MIT Missing Semester (Lecture 1-3)</t>
        </is>
      </c>
      <c r="C10" s="17" t="inlineStr">
        <is>
          <t>Course</t>
        </is>
      </c>
      <c r="D10" s="17" t="inlineStr">
        <is>
          <t>https://missing.csail.mit.edu</t>
        </is>
      </c>
      <c r="E10" s="17" t="inlineStr">
        <is>
          <t>Not Started</t>
        </is>
      </c>
      <c r="F10" s="17" t="inlineStr">
        <is>
          <t>Bash scripting, pipeline structures, and tools configs.</t>
        </is>
      </c>
    </row>
    <row r="11" ht="30" customHeight="1">
      <c r="A11" s="13" t="n">
        <v>2</v>
      </c>
      <c r="B11" s="13" t="inlineStr">
        <is>
          <t>Beej's Guide to Network Programming</t>
        </is>
      </c>
      <c r="C11" s="13" t="inlineStr">
        <is>
          <t>Docs</t>
        </is>
      </c>
      <c r="D11" s="13" t="inlineStr">
        <is>
          <t>https://beej.us/guide/bgnet</t>
        </is>
      </c>
      <c r="E11" s="13" t="inlineStr">
        <is>
          <t>Not Started</t>
        </is>
      </c>
      <c r="F11" s="13" t="inlineStr">
        <is>
          <t>Sockets bindings, connections handling, and TCP packets structures.</t>
        </is>
      </c>
    </row>
    <row r="12" ht="30" customHeight="1">
      <c r="A12" s="17" t="n">
        <v>3</v>
      </c>
      <c r="B12" s="17" t="inlineStr">
        <is>
          <t>Refactoring.Guru Design Patterns</t>
        </is>
      </c>
      <c r="C12" s="17" t="inlineStr">
        <is>
          <t>Docs</t>
        </is>
      </c>
      <c r="D12" s="17" t="inlineStr">
        <is>
          <t>https://refactoring.guru</t>
        </is>
      </c>
      <c r="E12" s="17" t="inlineStr">
        <is>
          <t>Not Started</t>
        </is>
      </c>
      <c r="F12" s="17" t="inlineStr">
        <is>
          <t>Design pattern definitions, Python code examples, and UML representations.</t>
        </is>
      </c>
    </row>
    <row r="13" ht="30" customHeight="1">
      <c r="A13" s="13" t="n">
        <v>3</v>
      </c>
      <c r="B13" s="13" t="inlineStr">
        <is>
          <t>Clean Code (Robert C. Martin)</t>
        </is>
      </c>
      <c r="C13" s="13" t="inlineStr">
        <is>
          <t>Book</t>
        </is>
      </c>
      <c r="D13" s="13" t="inlineStr">
        <is>
          <t>https://www.oreilly.com/library/view/clean-code-a/9780136083238/</t>
        </is>
      </c>
      <c r="E13" s="13" t="inlineStr">
        <is>
          <t>Not Started</t>
        </is>
      </c>
      <c r="F13" s="13" t="inlineStr">
        <is>
          <t>SOLID properties, functions design, and names formatting rules.</t>
        </is>
      </c>
    </row>
    <row r="14" ht="30" customHeight="1">
      <c r="A14" s="17" t="n">
        <v>4</v>
      </c>
      <c r="B14" s="17" t="inlineStr">
        <is>
          <t>FastAPI Official Tutorial</t>
        </is>
      </c>
      <c r="C14" s="17" t="inlineStr">
        <is>
          <t>Docs</t>
        </is>
      </c>
      <c r="D14" s="17" t="inlineStr">
        <is>
          <t>https://fastapi.tiangolo.com</t>
        </is>
      </c>
      <c r="E14" s="17" t="inlineStr">
        <is>
          <t>Not Started</t>
        </is>
      </c>
      <c r="F14" s="17" t="inlineStr">
        <is>
          <t>Routing schemas, dependency injection models, and middleware controllers.</t>
        </is>
      </c>
    </row>
    <row r="15" ht="30" customHeight="1">
      <c r="A15" s="13" t="n">
        <v>4</v>
      </c>
      <c r="B15" s="13" t="inlineStr">
        <is>
          <t>SQLAlchemy 2.0 Documentation</t>
        </is>
      </c>
      <c r="C15" s="13" t="inlineStr">
        <is>
          <t>Docs</t>
        </is>
      </c>
      <c r="D15" s="13" t="inlineStr">
        <is>
          <t>https://docs.sqlalchemy.org</t>
        </is>
      </c>
      <c r="E15" s="13" t="inlineStr">
        <is>
          <t>Not Started</t>
        </is>
      </c>
      <c r="F15" s="13" t="inlineStr">
        <is>
          <t>Declarative mappings, transaction contexts, and asynchronous databases engine calls.</t>
        </is>
      </c>
    </row>
    <row r="16" ht="30" customHeight="1">
      <c r="A16" s="17" t="n">
        <v>5</v>
      </c>
      <c r="B16" s="17" t="inlineStr">
        <is>
          <t>Docker Deep Dive (Nigel Poulton)</t>
        </is>
      </c>
      <c r="C16" s="17" t="inlineStr">
        <is>
          <t>Book</t>
        </is>
      </c>
      <c r="D16" s="17" t="inlineStr">
        <is>
          <t>https://dockerdeepdive.com</t>
        </is>
      </c>
      <c r="E16" s="17" t="inlineStr">
        <is>
          <t>Not Started</t>
        </is>
      </c>
      <c r="F16" s="17" t="inlineStr">
        <is>
          <t>Image layer optimizations, compose loops configurations, and docker networks.</t>
        </is>
      </c>
    </row>
    <row r="17" ht="30" customHeight="1">
      <c r="A17" s="13" t="n">
        <v>5</v>
      </c>
      <c r="B17" s="13" t="inlineStr">
        <is>
          <t>AWS Free Tier Documentation</t>
        </is>
      </c>
      <c r="C17" s="13" t="inlineStr">
        <is>
          <t>Docs</t>
        </is>
      </c>
      <c r="D17" s="13" t="inlineStr">
        <is>
          <t>https://aws.amazon.com/free</t>
        </is>
      </c>
      <c r="E17" s="13" t="inlineStr">
        <is>
          <t>Not Started</t>
        </is>
      </c>
      <c r="F17" s="13" t="inlineStr">
        <is>
          <t>EC2, RDS Postgres provisioning, and S3 credentials configurations.</t>
        </is>
      </c>
    </row>
    <row r="18" ht="30" customHeight="1">
      <c r="A18" s="17" t="n">
        <v>6</v>
      </c>
      <c r="B18" s="17" t="inlineStr">
        <is>
          <t>Hands-On ML (Aurelien Geron)</t>
        </is>
      </c>
      <c r="C18" s="17" t="inlineStr">
        <is>
          <t>Book</t>
        </is>
      </c>
      <c r="D18" s="17" t="inlineStr">
        <is>
          <t>https://www.oreilly.com/library/view/hands-on-machine-learning/9781098125974/</t>
        </is>
      </c>
      <c r="E18" s="17" t="inlineStr">
        <is>
          <t>Not Started</t>
        </is>
      </c>
      <c r="F18" s="17" t="inlineStr">
        <is>
          <t>Machine learning metrics, regression bounds, and PyTorch properties.</t>
        </is>
      </c>
    </row>
    <row r="19" ht="30" customHeight="1">
      <c r="A19" s="13" t="n">
        <v>6</v>
      </c>
      <c r="B19" s="13" t="inlineStr">
        <is>
          <t>Andrej Karpathy NN Zero to Hero</t>
        </is>
      </c>
      <c r="C19" s="13" t="inlineStr">
        <is>
          <t>YouTube</t>
        </is>
      </c>
      <c r="D19" s="13" t="inlineStr">
        <is>
          <t>https://karpathy.ai/zero-to-hero.html</t>
        </is>
      </c>
      <c r="E19" s="13" t="inlineStr">
        <is>
          <t>Not Started</t>
        </is>
      </c>
      <c r="F19" s="13" t="inlineStr">
        <is>
          <t>Neural net parameters calculations, backpropagation mathematical steps.</t>
        </is>
      </c>
    </row>
    <row r="20" ht="30" customHeight="1">
      <c r="A20" s="17" t="n">
        <v>7</v>
      </c>
      <c r="B20" s="17" t="inlineStr">
        <is>
          <t>LangChain Documentation</t>
        </is>
      </c>
      <c r="C20" s="17" t="inlineStr">
        <is>
          <t>Docs</t>
        </is>
      </c>
      <c r="D20" s="17" t="inlineStr">
        <is>
          <t>https://python.langchain.com</t>
        </is>
      </c>
      <c r="E20" s="17" t="inlineStr">
        <is>
          <t>Not Started</t>
        </is>
      </c>
      <c r="F20" s="17" t="inlineStr">
        <is>
          <t>LCEL model expressions, context documents loaders, and chains integrations.</t>
        </is>
      </c>
    </row>
    <row r="21" ht="30" customHeight="1">
      <c r="A21" s="13" t="n">
        <v>7</v>
      </c>
      <c r="B21" s="13" t="inlineStr">
        <is>
          <t>ChromaDB Documentation</t>
        </is>
      </c>
      <c r="C21" s="13" t="inlineStr">
        <is>
          <t>Docs</t>
        </is>
      </c>
      <c r="D21" s="13" t="inlineStr">
        <is>
          <t>https://docs.trychroma.com</t>
        </is>
      </c>
      <c r="E21" s="13" t="inlineStr">
        <is>
          <t>Not Started</t>
        </is>
      </c>
      <c r="F21" s="13" t="inlineStr">
        <is>
          <t>Embeddings indexing properties and similarity search queries formats.</t>
        </is>
      </c>
    </row>
    <row r="22" ht="30" customHeight="1">
      <c r="A22" s="17" t="n">
        <v>8</v>
      </c>
      <c r="B22" s="17" t="inlineStr">
        <is>
          <t>LangGraph Documentation</t>
        </is>
      </c>
      <c r="C22" s="17" t="inlineStr">
        <is>
          <t>Docs</t>
        </is>
      </c>
      <c r="D22" s="17" t="inlineStr">
        <is>
          <t>https://langchain-ai.github.io/langgraph/</t>
        </is>
      </c>
      <c r="E22" s="17" t="inlineStr">
        <is>
          <t>Not Started</t>
        </is>
      </c>
      <c r="F22" s="17" t="inlineStr">
        <is>
          <t>Orchestrating agent state using cycles and persistent memory database savers.</t>
        </is>
      </c>
    </row>
    <row r="23" ht="30" customHeight="1">
      <c r="A23" s="13" t="n">
        <v>8</v>
      </c>
      <c r="B23" s="13" t="inlineStr">
        <is>
          <t>Model Context Protocol Spec</t>
        </is>
      </c>
      <c r="C23" s="13" t="inlineStr">
        <is>
          <t>Docs</t>
        </is>
      </c>
      <c r="D23" s="13" t="inlineStr">
        <is>
          <t>https://modelcontextprotocol.io</t>
        </is>
      </c>
      <c r="E23" s="13" t="inlineStr">
        <is>
          <t>Not Started</t>
        </is>
      </c>
      <c r="F23" s="13" t="inlineStr">
        <is>
          <t>Exposing local server tools to client LLMs using MCP specifications.</t>
        </is>
      </c>
    </row>
    <row r="24" ht="30" customHeight="1">
      <c r="A24" s="17" t="n">
        <v>9</v>
      </c>
      <c r="B24" s="17" t="inlineStr">
        <is>
          <t>Designing Data-Intensive Applications</t>
        </is>
      </c>
      <c r="C24" s="17" t="inlineStr">
        <is>
          <t>Book</t>
        </is>
      </c>
      <c r="D24" s="17" t="inlineStr">
        <is>
          <t>https://dataintensive.net</t>
        </is>
      </c>
      <c r="E24" s="17" t="inlineStr">
        <is>
          <t>Not Started</t>
        </is>
      </c>
      <c r="F24" s="17" t="inlineStr">
        <is>
          <t>Consistency levels, partition sharding systems, and replica maps.</t>
        </is>
      </c>
    </row>
    <row r="25" ht="30" customHeight="1">
      <c r="A25" s="13" t="n">
        <v>9</v>
      </c>
      <c r="B25" s="13" t="inlineStr">
        <is>
          <t>System Design Primer (Donne Martin)</t>
        </is>
      </c>
      <c r="C25" s="13" t="inlineStr">
        <is>
          <t>GitHub</t>
        </is>
      </c>
      <c r="D25" s="13" t="inlineStr">
        <is>
          <t>https://github.com/donnemartin/system-design-primer</t>
        </is>
      </c>
      <c r="E25" s="13" t="inlineStr">
        <is>
          <t>Not Started</t>
        </is>
      </c>
      <c r="F25" s="13" t="inlineStr">
        <is>
          <t>Scale models, consistent hashing configurations, CDNs caching maps.</t>
        </is>
      </c>
    </row>
    <row r="26" ht="30" customHeight="1">
      <c r="A26" s="17" t="n">
        <v>10</v>
      </c>
      <c r="B26" s="17" t="inlineStr">
        <is>
          <t>NeetCode System Design Course</t>
        </is>
      </c>
      <c r="C26" s="17" t="inlineStr">
        <is>
          <t>Course</t>
        </is>
      </c>
      <c r="D26" s="17" t="inlineStr">
        <is>
          <t>https://neetcode.io</t>
        </is>
      </c>
      <c r="E26" s="17" t="inlineStr">
        <is>
          <t>Not Started</t>
        </is>
      </c>
      <c r="F26" s="17" t="inlineStr">
        <is>
          <t>Architectural walk-throughs, scale evaluations, and interviewer mock logs.</t>
        </is>
      </c>
    </row>
  </sheetData>
  <autoFilter ref="A4:F26"/>
  <mergeCells count="2">
    <mergeCell ref="A2:F2"/>
    <mergeCell ref="A1:F1"/>
  </mergeCells>
  <conditionalFormatting sqref="E5:E26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2">
      <formula>"Done"</formula>
    </cfRule>
    <cfRule type="cellIs" priority="5" operator="equal" dxfId="3">
      <formula>"Blocked"</formula>
    </cfRule>
    <cfRule type="cellIs" priority="6" operator="equal" dxfId="4">
      <formula>"Skipped"</formula>
    </cfRule>
  </conditionalFormatting>
  <dataValidations count="2">
    <dataValidation sqref="E5:E26" showDropDown="0" showInputMessage="0" showErrorMessage="0" allowBlank="1" type="list">
      <formula1>"Not Started,In Progress,Complete"</formula1>
    </dataValidation>
    <dataValidation sqref="C5:C26" showDropDown="0" showInputMessage="0" showErrorMessage="0" allowBlank="1" type="list">
      <formula1>"Book,YouTube,Docs,Course,Interactive"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2" customWidth="1" min="4" max="4"/>
    <col width="22" customWidth="1" min="5" max="5"/>
    <col width="22" customWidth="1" min="6" max="6"/>
    <col width="35" customWidth="1" min="7" max="7"/>
    <col width="35" customWidth="1" min="8" max="8"/>
  </cols>
  <sheetData>
    <row r="1" ht="36" customHeight="1">
      <c r="A1" s="1" t="inlineStr">
        <is>
          <t>Weekly Metrics Log</t>
        </is>
      </c>
    </row>
    <row r="2" ht="20" customHeight="1">
      <c r="A2" s="2" t="inlineStr">
        <is>
          <t>Track targets vs. actual progress, revise weak topics weekly</t>
        </is>
      </c>
    </row>
    <row r="4" ht="32" customHeight="1">
      <c r="A4" s="12" t="inlineStr">
        <is>
          <t>Week #</t>
        </is>
      </c>
      <c r="B4" s="12" t="inlineStr">
        <is>
          <t>Study Hours (Target)</t>
        </is>
      </c>
      <c r="C4" s="12" t="inlineStr">
        <is>
          <t>Study Hours (Actual)</t>
        </is>
      </c>
      <c r="D4" s="12" t="inlineStr">
        <is>
          <t>LeetCode Problems (Target)</t>
        </is>
      </c>
      <c r="E4" s="12" t="inlineStr">
        <is>
          <t>LeetCode Problems (Actual)</t>
        </is>
      </c>
      <c r="F4" s="12" t="inlineStr">
        <is>
          <t>Mock Interview Completed</t>
        </is>
      </c>
      <c r="G4" s="12" t="inlineStr">
        <is>
          <t>Weak Areas Identified</t>
        </is>
      </c>
      <c r="H4" s="12" t="inlineStr">
        <is>
          <t>Corrective Actions</t>
        </is>
      </c>
    </row>
    <row r="5" ht="30" customHeight="1">
      <c r="A5" s="13" t="n">
        <v>1</v>
      </c>
      <c r="B5" s="16" t="n">
        <v>50</v>
      </c>
      <c r="C5" s="15">
        <f>'Weekly Goals'!H5</f>
        <v/>
      </c>
      <c r="D5" s="24" t="n">
        <v>15</v>
      </c>
      <c r="E5" s="24">
        <f>COUNTIFS('LeetCode Tracker'!A:A,1,'LeetCode Tracker'!G:G,"Complete")</f>
        <v/>
      </c>
      <c r="F5" s="13" t="inlineStr">
        <is>
          <t>No</t>
        </is>
      </c>
      <c r="G5" s="13" t="inlineStr"/>
      <c r="H5" s="13" t="inlineStr"/>
    </row>
    <row r="6" ht="30" customHeight="1">
      <c r="A6" s="17" t="n">
        <v>2</v>
      </c>
      <c r="B6" s="20" t="n">
        <v>50</v>
      </c>
      <c r="C6" s="19">
        <f>'Weekly Goals'!H6</f>
        <v/>
      </c>
      <c r="D6" s="25" t="n">
        <v>15</v>
      </c>
      <c r="E6" s="25">
        <f>COUNTIFS('LeetCode Tracker'!A:A,2,'LeetCode Tracker'!G:G,"Complete")</f>
        <v/>
      </c>
      <c r="F6" s="17" t="inlineStr">
        <is>
          <t>No</t>
        </is>
      </c>
      <c r="G6" s="17" t="inlineStr"/>
      <c r="H6" s="17" t="inlineStr"/>
    </row>
    <row r="7" ht="30" customHeight="1">
      <c r="A7" s="13" t="n">
        <v>3</v>
      </c>
      <c r="B7" s="16" t="n">
        <v>50</v>
      </c>
      <c r="C7" s="15">
        <f>'Weekly Goals'!H7</f>
        <v/>
      </c>
      <c r="D7" s="24" t="n">
        <v>15</v>
      </c>
      <c r="E7" s="24">
        <f>COUNTIFS('LeetCode Tracker'!A:A,3,'LeetCode Tracker'!G:G,"Complete")</f>
        <v/>
      </c>
      <c r="F7" s="13" t="inlineStr">
        <is>
          <t>No</t>
        </is>
      </c>
      <c r="G7" s="13" t="inlineStr"/>
      <c r="H7" s="13" t="inlineStr"/>
    </row>
    <row r="8" ht="30" customHeight="1">
      <c r="A8" s="17" t="n">
        <v>4</v>
      </c>
      <c r="B8" s="20" t="n">
        <v>50</v>
      </c>
      <c r="C8" s="19">
        <f>'Weekly Goals'!H8</f>
        <v/>
      </c>
      <c r="D8" s="25" t="n">
        <v>15</v>
      </c>
      <c r="E8" s="25">
        <f>COUNTIFS('LeetCode Tracker'!A:A,4,'LeetCode Tracker'!G:G,"Complete")</f>
        <v/>
      </c>
      <c r="F8" s="17" t="inlineStr">
        <is>
          <t>No</t>
        </is>
      </c>
      <c r="G8" s="17" t="inlineStr"/>
      <c r="H8" s="17" t="inlineStr"/>
    </row>
    <row r="9" ht="30" customHeight="1">
      <c r="A9" s="13" t="n">
        <v>5</v>
      </c>
      <c r="B9" s="16" t="n">
        <v>50</v>
      </c>
      <c r="C9" s="15">
        <f>'Weekly Goals'!H9</f>
        <v/>
      </c>
      <c r="D9" s="24" t="n">
        <v>15</v>
      </c>
      <c r="E9" s="24">
        <f>COUNTIFS('LeetCode Tracker'!A:A,5,'LeetCode Tracker'!G:G,"Complete")</f>
        <v/>
      </c>
      <c r="F9" s="13" t="inlineStr">
        <is>
          <t>No</t>
        </is>
      </c>
      <c r="G9" s="13" t="inlineStr"/>
      <c r="H9" s="13" t="inlineStr"/>
    </row>
    <row r="10" ht="30" customHeight="1">
      <c r="A10" s="17" t="n">
        <v>6</v>
      </c>
      <c r="B10" s="20" t="n">
        <v>50</v>
      </c>
      <c r="C10" s="19">
        <f>'Weekly Goals'!H10</f>
        <v/>
      </c>
      <c r="D10" s="25" t="n">
        <v>15</v>
      </c>
      <c r="E10" s="25">
        <f>COUNTIFS('LeetCode Tracker'!A:A,6,'LeetCode Tracker'!G:G,"Complete")</f>
        <v/>
      </c>
      <c r="F10" s="17" t="inlineStr">
        <is>
          <t>No</t>
        </is>
      </c>
      <c r="G10" s="17" t="inlineStr"/>
      <c r="H10" s="17" t="inlineStr"/>
    </row>
    <row r="11" ht="30" customHeight="1">
      <c r="A11" s="13" t="n">
        <v>7</v>
      </c>
      <c r="B11" s="16" t="n">
        <v>50</v>
      </c>
      <c r="C11" s="15">
        <f>'Weekly Goals'!H11</f>
        <v/>
      </c>
      <c r="D11" s="24" t="n">
        <v>15</v>
      </c>
      <c r="E11" s="24">
        <f>COUNTIFS('LeetCode Tracker'!A:A,7,'LeetCode Tracker'!G:G,"Complete")</f>
        <v/>
      </c>
      <c r="F11" s="13" t="inlineStr">
        <is>
          <t>No</t>
        </is>
      </c>
      <c r="G11" s="13" t="inlineStr"/>
      <c r="H11" s="13" t="inlineStr"/>
    </row>
    <row r="12" ht="30" customHeight="1">
      <c r="A12" s="17" t="n">
        <v>8</v>
      </c>
      <c r="B12" s="20" t="n">
        <v>50</v>
      </c>
      <c r="C12" s="19">
        <f>'Weekly Goals'!H12</f>
        <v/>
      </c>
      <c r="D12" s="25" t="n">
        <v>15</v>
      </c>
      <c r="E12" s="25">
        <f>COUNTIFS('LeetCode Tracker'!A:A,8,'LeetCode Tracker'!G:G,"Complete")</f>
        <v/>
      </c>
      <c r="F12" s="17" t="inlineStr">
        <is>
          <t>No</t>
        </is>
      </c>
      <c r="G12" s="17" t="inlineStr"/>
      <c r="H12" s="17" t="inlineStr"/>
    </row>
    <row r="13" ht="30" customHeight="1">
      <c r="A13" s="13" t="n">
        <v>9</v>
      </c>
      <c r="B13" s="16" t="n">
        <v>50</v>
      </c>
      <c r="C13" s="15">
        <f>'Weekly Goals'!H13</f>
        <v/>
      </c>
      <c r="D13" s="24" t="n">
        <v>15</v>
      </c>
      <c r="E13" s="24">
        <f>COUNTIFS('LeetCode Tracker'!A:A,9,'LeetCode Tracker'!G:G,"Complete")</f>
        <v/>
      </c>
      <c r="F13" s="13" t="inlineStr">
        <is>
          <t>No</t>
        </is>
      </c>
      <c r="G13" s="13" t="inlineStr"/>
      <c r="H13" s="13" t="inlineStr"/>
    </row>
    <row r="14" ht="30" customHeight="1">
      <c r="A14" s="17" t="n">
        <v>10</v>
      </c>
      <c r="B14" s="20" t="n">
        <v>50</v>
      </c>
      <c r="C14" s="19">
        <f>'Weekly Goals'!H14</f>
        <v/>
      </c>
      <c r="D14" s="25" t="n">
        <v>15</v>
      </c>
      <c r="E14" s="25">
        <f>COUNTIFS('LeetCode Tracker'!A:A,10,'LeetCode Tracker'!G:G,"Complete")</f>
        <v/>
      </c>
      <c r="F14" s="17" t="inlineStr">
        <is>
          <t>No</t>
        </is>
      </c>
      <c r="G14" s="17" t="inlineStr"/>
      <c r="H14" s="17" t="inlineStr"/>
    </row>
  </sheetData>
  <mergeCells count="2">
    <mergeCell ref="A2:H2"/>
    <mergeCell ref="A1:H1"/>
  </mergeCells>
  <dataValidations count="1">
    <dataValidation sqref="F5:F1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5" customWidth="1" min="4" max="4"/>
    <col width="45" customWidth="1" min="5" max="5"/>
    <col width="30" customWidth="1" min="6" max="6"/>
    <col width="25" customWidth="1" min="7" max="7"/>
    <col width="25" customWidth="1" min="8" max="8"/>
  </cols>
  <sheetData>
    <row r="1" ht="36" customHeight="1">
      <c r="A1" s="1" t="inlineStr">
        <is>
          <t>Conceptual Notes &amp; Daily Journal</t>
        </is>
      </c>
    </row>
    <row r="2" ht="20" customHeight="1">
      <c r="A2" s="2" t="inlineStr">
        <is>
          <t>Log custom study notes, code snippets, blockages, and daily reflections</t>
        </is>
      </c>
    </row>
    <row r="4" ht="32" customHeight="1">
      <c r="A4" s="12" t="inlineStr">
        <is>
          <t>Date</t>
        </is>
      </c>
      <c r="B4" s="12" t="inlineStr">
        <is>
          <t>Week #</t>
        </is>
      </c>
      <c r="C4" s="12" t="inlineStr">
        <is>
          <t>Day #</t>
        </is>
      </c>
      <c r="D4" s="12" t="inlineStr">
        <is>
          <t>Focus Area</t>
        </is>
      </c>
      <c r="E4" s="12" t="inlineStr">
        <is>
          <t>Key Takeaways / Concept Breakdown</t>
        </is>
      </c>
      <c r="F4" s="12" t="inlineStr">
        <is>
          <t>Code Snippets</t>
        </is>
      </c>
      <c r="G4" s="12" t="inlineStr">
        <is>
          <t>Blockers / Questions</t>
        </is>
      </c>
      <c r="H4" s="12" t="inlineStr">
        <is>
          <t>Next Steps</t>
        </is>
      </c>
    </row>
    <row r="5" ht="30" customHeight="1">
      <c r="A5" s="22" t="n"/>
      <c r="B5" s="13" t="n">
        <v>1</v>
      </c>
      <c r="C5" s="13" t="n">
        <v>1</v>
      </c>
      <c r="D5" s="13" t="n"/>
      <c r="E5" s="13" t="n"/>
      <c r="F5" s="13" t="n"/>
      <c r="G5" s="13" t="n"/>
      <c r="H5" s="13" t="n"/>
    </row>
    <row r="6" ht="30" customHeight="1">
      <c r="A6" s="23" t="n"/>
      <c r="B6" s="17" t="n">
        <v>1</v>
      </c>
      <c r="C6" s="17" t="n">
        <v>2</v>
      </c>
      <c r="D6" s="17" t="n"/>
      <c r="E6" s="17" t="n"/>
      <c r="F6" s="17" t="n"/>
      <c r="G6" s="17" t="n"/>
      <c r="H6" s="17" t="n"/>
    </row>
    <row r="7" ht="30" customHeight="1">
      <c r="A7" s="22" t="n"/>
      <c r="B7" s="13" t="n">
        <v>1</v>
      </c>
      <c r="C7" s="13" t="n">
        <v>3</v>
      </c>
      <c r="D7" s="13" t="n"/>
      <c r="E7" s="13" t="n"/>
      <c r="F7" s="13" t="n"/>
      <c r="G7" s="13" t="n"/>
      <c r="H7" s="13" t="n"/>
    </row>
    <row r="8" ht="30" customHeight="1">
      <c r="A8" s="23" t="n"/>
      <c r="B8" s="17" t="n">
        <v>1</v>
      </c>
      <c r="C8" s="17" t="n">
        <v>4</v>
      </c>
      <c r="D8" s="17" t="n"/>
      <c r="E8" s="17" t="n"/>
      <c r="F8" s="17" t="n"/>
      <c r="G8" s="17" t="n"/>
      <c r="H8" s="17" t="n"/>
    </row>
    <row r="9" ht="30" customHeight="1">
      <c r="A9" s="22" t="n"/>
      <c r="B9" s="13" t="n">
        <v>1</v>
      </c>
      <c r="C9" s="13" t="n">
        <v>5</v>
      </c>
      <c r="D9" s="13" t="n"/>
      <c r="E9" s="13" t="n"/>
      <c r="F9" s="13" t="n"/>
      <c r="G9" s="13" t="n"/>
      <c r="H9" s="13" t="n"/>
    </row>
    <row r="10" ht="30" customHeight="1">
      <c r="A10" s="23" t="n"/>
      <c r="B10" s="17" t="n">
        <v>1</v>
      </c>
      <c r="C10" s="17" t="n">
        <v>6</v>
      </c>
      <c r="D10" s="17" t="n"/>
      <c r="E10" s="17" t="n"/>
      <c r="F10" s="17" t="n"/>
      <c r="G10" s="17" t="n"/>
      <c r="H10" s="17" t="n"/>
    </row>
    <row r="11" ht="30" customHeight="1">
      <c r="A11" s="22" t="n"/>
      <c r="B11" s="13" t="n">
        <v>1</v>
      </c>
      <c r="C11" s="13" t="n">
        <v>7</v>
      </c>
      <c r="D11" s="13" t="n"/>
      <c r="E11" s="13" t="n"/>
      <c r="F11" s="13" t="n"/>
      <c r="G11" s="13" t="n"/>
      <c r="H11" s="13" t="n"/>
    </row>
    <row r="12" ht="30" customHeight="1">
      <c r="A12" s="23" t="n"/>
      <c r="B12" s="17" t="n">
        <v>2</v>
      </c>
      <c r="C12" s="17" t="n">
        <v>8</v>
      </c>
      <c r="D12" s="17" t="n"/>
      <c r="E12" s="17" t="n"/>
      <c r="F12" s="17" t="n"/>
      <c r="G12" s="17" t="n"/>
      <c r="H12" s="17" t="n"/>
    </row>
    <row r="13" ht="30" customHeight="1">
      <c r="A13" s="22" t="n"/>
      <c r="B13" s="13" t="n">
        <v>2</v>
      </c>
      <c r="C13" s="13" t="n">
        <v>9</v>
      </c>
      <c r="D13" s="13" t="n"/>
      <c r="E13" s="13" t="n"/>
      <c r="F13" s="13" t="n"/>
      <c r="G13" s="13" t="n"/>
      <c r="H13" s="13" t="n"/>
    </row>
    <row r="14" ht="30" customHeight="1">
      <c r="A14" s="23" t="n"/>
      <c r="B14" s="17" t="n">
        <v>2</v>
      </c>
      <c r="C14" s="17" t="n">
        <v>10</v>
      </c>
      <c r="D14" s="17" t="n"/>
      <c r="E14" s="17" t="n"/>
      <c r="F14" s="17" t="n"/>
      <c r="G14" s="17" t="n"/>
      <c r="H14" s="17" t="n"/>
    </row>
    <row r="15" ht="30" customHeight="1">
      <c r="A15" s="22" t="n"/>
      <c r="B15" s="13" t="n">
        <v>2</v>
      </c>
      <c r="C15" s="13" t="n">
        <v>11</v>
      </c>
      <c r="D15" s="13" t="n"/>
      <c r="E15" s="13" t="n"/>
      <c r="F15" s="13" t="n"/>
      <c r="G15" s="13" t="n"/>
      <c r="H15" s="13" t="n"/>
    </row>
    <row r="16" ht="30" customHeight="1">
      <c r="A16" s="23" t="n"/>
      <c r="B16" s="17" t="n">
        <v>2</v>
      </c>
      <c r="C16" s="17" t="n">
        <v>12</v>
      </c>
      <c r="D16" s="17" t="n"/>
      <c r="E16" s="17" t="n"/>
      <c r="F16" s="17" t="n"/>
      <c r="G16" s="17" t="n"/>
      <c r="H16" s="17" t="n"/>
    </row>
    <row r="17" ht="30" customHeight="1">
      <c r="A17" s="22" t="n"/>
      <c r="B17" s="13" t="n">
        <v>2</v>
      </c>
      <c r="C17" s="13" t="n">
        <v>13</v>
      </c>
      <c r="D17" s="13" t="n"/>
      <c r="E17" s="13" t="n"/>
      <c r="F17" s="13" t="n"/>
      <c r="G17" s="13" t="n"/>
      <c r="H17" s="13" t="n"/>
    </row>
    <row r="18" ht="30" customHeight="1">
      <c r="A18" s="23" t="n"/>
      <c r="B18" s="17" t="n">
        <v>2</v>
      </c>
      <c r="C18" s="17" t="n">
        <v>14</v>
      </c>
      <c r="D18" s="17" t="n"/>
      <c r="E18" s="17" t="n"/>
      <c r="F18" s="17" t="n"/>
      <c r="G18" s="17" t="n"/>
      <c r="H18" s="17" t="n"/>
    </row>
    <row r="19" ht="30" customHeight="1">
      <c r="A19" s="22" t="n"/>
      <c r="B19" s="13" t="n">
        <v>3</v>
      </c>
      <c r="C19" s="13" t="n">
        <v>15</v>
      </c>
      <c r="D19" s="13" t="n"/>
      <c r="E19" s="13" t="n"/>
      <c r="F19" s="13" t="n"/>
      <c r="G19" s="13" t="n"/>
      <c r="H19" s="13" t="n"/>
    </row>
    <row r="20" ht="30" customHeight="1">
      <c r="A20" s="23" t="n"/>
      <c r="B20" s="17" t="n">
        <v>3</v>
      </c>
      <c r="C20" s="17" t="n">
        <v>16</v>
      </c>
      <c r="D20" s="17" t="n"/>
      <c r="E20" s="17" t="n"/>
      <c r="F20" s="17" t="n"/>
      <c r="G20" s="17" t="n"/>
      <c r="H20" s="17" t="n"/>
    </row>
    <row r="21" ht="30" customHeight="1">
      <c r="A21" s="22" t="n"/>
      <c r="B21" s="13" t="n">
        <v>3</v>
      </c>
      <c r="C21" s="13" t="n">
        <v>17</v>
      </c>
      <c r="D21" s="13" t="n"/>
      <c r="E21" s="13" t="n"/>
      <c r="F21" s="13" t="n"/>
      <c r="G21" s="13" t="n"/>
      <c r="H21" s="13" t="n"/>
    </row>
    <row r="22" ht="30" customHeight="1">
      <c r="A22" s="23" t="n"/>
      <c r="B22" s="17" t="n">
        <v>3</v>
      </c>
      <c r="C22" s="17" t="n">
        <v>18</v>
      </c>
      <c r="D22" s="17" t="n"/>
      <c r="E22" s="17" t="n"/>
      <c r="F22" s="17" t="n"/>
      <c r="G22" s="17" t="n"/>
      <c r="H22" s="17" t="n"/>
    </row>
    <row r="23" ht="30" customHeight="1">
      <c r="A23" s="22" t="n"/>
      <c r="B23" s="13" t="n">
        <v>3</v>
      </c>
      <c r="C23" s="13" t="n">
        <v>19</v>
      </c>
      <c r="D23" s="13" t="n"/>
      <c r="E23" s="13" t="n"/>
      <c r="F23" s="13" t="n"/>
      <c r="G23" s="13" t="n"/>
      <c r="H23" s="13" t="n"/>
    </row>
    <row r="24" ht="30" customHeight="1">
      <c r="A24" s="23" t="n"/>
      <c r="B24" s="17" t="n">
        <v>3</v>
      </c>
      <c r="C24" s="17" t="n">
        <v>20</v>
      </c>
      <c r="D24" s="17" t="n"/>
      <c r="E24" s="17" t="n"/>
      <c r="F24" s="17" t="n"/>
      <c r="G24" s="17" t="n"/>
      <c r="H24" s="17" t="n"/>
    </row>
    <row r="25" ht="30" customHeight="1">
      <c r="A25" s="22" t="n"/>
      <c r="B25" s="13" t="n">
        <v>3</v>
      </c>
      <c r="C25" s="13" t="n">
        <v>21</v>
      </c>
      <c r="D25" s="13" t="n"/>
      <c r="E25" s="13" t="n"/>
      <c r="F25" s="13" t="n"/>
      <c r="G25" s="13" t="n"/>
      <c r="H25" s="13" t="n"/>
    </row>
    <row r="26" ht="30" customHeight="1">
      <c r="A26" s="23" t="n"/>
      <c r="B26" s="17" t="n">
        <v>4</v>
      </c>
      <c r="C26" s="17" t="n">
        <v>22</v>
      </c>
      <c r="D26" s="17" t="n"/>
      <c r="E26" s="17" t="n"/>
      <c r="F26" s="17" t="n"/>
      <c r="G26" s="17" t="n"/>
      <c r="H26" s="17" t="n"/>
    </row>
    <row r="27" ht="30" customHeight="1">
      <c r="A27" s="22" t="n"/>
      <c r="B27" s="13" t="n">
        <v>4</v>
      </c>
      <c r="C27" s="13" t="n">
        <v>23</v>
      </c>
      <c r="D27" s="13" t="n"/>
      <c r="E27" s="13" t="n"/>
      <c r="F27" s="13" t="n"/>
      <c r="G27" s="13" t="n"/>
      <c r="H27" s="13" t="n"/>
    </row>
    <row r="28" ht="30" customHeight="1">
      <c r="A28" s="23" t="n"/>
      <c r="B28" s="17" t="n">
        <v>4</v>
      </c>
      <c r="C28" s="17" t="n">
        <v>24</v>
      </c>
      <c r="D28" s="17" t="n"/>
      <c r="E28" s="17" t="n"/>
      <c r="F28" s="17" t="n"/>
      <c r="G28" s="17" t="n"/>
      <c r="H28" s="17" t="n"/>
    </row>
    <row r="29" ht="30" customHeight="1">
      <c r="A29" s="22" t="n"/>
      <c r="B29" s="13" t="n">
        <v>4</v>
      </c>
      <c r="C29" s="13" t="n">
        <v>25</v>
      </c>
      <c r="D29" s="13" t="n"/>
      <c r="E29" s="13" t="n"/>
      <c r="F29" s="13" t="n"/>
      <c r="G29" s="13" t="n"/>
      <c r="H29" s="13" t="n"/>
    </row>
    <row r="30" ht="30" customHeight="1">
      <c r="A30" s="23" t="n"/>
      <c r="B30" s="17" t="n">
        <v>4</v>
      </c>
      <c r="C30" s="17" t="n">
        <v>26</v>
      </c>
      <c r="D30" s="17" t="n"/>
      <c r="E30" s="17" t="n"/>
      <c r="F30" s="17" t="n"/>
      <c r="G30" s="17" t="n"/>
      <c r="H30" s="17" t="n"/>
    </row>
    <row r="31" ht="30" customHeight="1">
      <c r="A31" s="22" t="n"/>
      <c r="B31" s="13" t="n">
        <v>4</v>
      </c>
      <c r="C31" s="13" t="n">
        <v>27</v>
      </c>
      <c r="D31" s="13" t="n"/>
      <c r="E31" s="13" t="n"/>
      <c r="F31" s="13" t="n"/>
      <c r="G31" s="13" t="n"/>
      <c r="H31" s="13" t="n"/>
    </row>
    <row r="32" ht="30" customHeight="1">
      <c r="A32" s="23" t="n"/>
      <c r="B32" s="17" t="n">
        <v>4</v>
      </c>
      <c r="C32" s="17" t="n">
        <v>28</v>
      </c>
      <c r="D32" s="17" t="n"/>
      <c r="E32" s="17" t="n"/>
      <c r="F32" s="17" t="n"/>
      <c r="G32" s="17" t="n"/>
      <c r="H32" s="17" t="n"/>
    </row>
    <row r="33" ht="30" customHeight="1">
      <c r="A33" s="22" t="n"/>
      <c r="B33" s="13" t="n">
        <v>5</v>
      </c>
      <c r="C33" s="13" t="n">
        <v>29</v>
      </c>
      <c r="D33" s="13" t="n"/>
      <c r="E33" s="13" t="n"/>
      <c r="F33" s="13" t="n"/>
      <c r="G33" s="13" t="n"/>
      <c r="H33" s="13" t="n"/>
    </row>
    <row r="34" ht="30" customHeight="1">
      <c r="A34" s="23" t="n"/>
      <c r="B34" s="17" t="n">
        <v>5</v>
      </c>
      <c r="C34" s="17" t="n">
        <v>30</v>
      </c>
      <c r="D34" s="17" t="n"/>
      <c r="E34" s="17" t="n"/>
      <c r="F34" s="17" t="n"/>
      <c r="G34" s="17" t="n"/>
      <c r="H34" s="17" t="n"/>
    </row>
    <row r="35" ht="30" customHeight="1">
      <c r="A35" s="22" t="n"/>
      <c r="B35" s="13" t="n">
        <v>5</v>
      </c>
      <c r="C35" s="13" t="n">
        <v>31</v>
      </c>
      <c r="D35" s="13" t="n"/>
      <c r="E35" s="13" t="n"/>
      <c r="F35" s="13" t="n"/>
      <c r="G35" s="13" t="n"/>
      <c r="H35" s="13" t="n"/>
    </row>
    <row r="36" ht="30" customHeight="1">
      <c r="A36" s="23" t="n"/>
      <c r="B36" s="17" t="n">
        <v>5</v>
      </c>
      <c r="C36" s="17" t="n">
        <v>32</v>
      </c>
      <c r="D36" s="17" t="n"/>
      <c r="E36" s="17" t="n"/>
      <c r="F36" s="17" t="n"/>
      <c r="G36" s="17" t="n"/>
      <c r="H36" s="17" t="n"/>
    </row>
    <row r="37" ht="30" customHeight="1">
      <c r="A37" s="22" t="n"/>
      <c r="B37" s="13" t="n">
        <v>5</v>
      </c>
      <c r="C37" s="13" t="n">
        <v>33</v>
      </c>
      <c r="D37" s="13" t="n"/>
      <c r="E37" s="13" t="n"/>
      <c r="F37" s="13" t="n"/>
      <c r="G37" s="13" t="n"/>
      <c r="H37" s="13" t="n"/>
    </row>
    <row r="38" ht="30" customHeight="1">
      <c r="A38" s="23" t="n"/>
      <c r="B38" s="17" t="n">
        <v>5</v>
      </c>
      <c r="C38" s="17" t="n">
        <v>34</v>
      </c>
      <c r="D38" s="17" t="n"/>
      <c r="E38" s="17" t="n"/>
      <c r="F38" s="17" t="n"/>
      <c r="G38" s="17" t="n"/>
      <c r="H38" s="17" t="n"/>
    </row>
    <row r="39" ht="30" customHeight="1">
      <c r="A39" s="22" t="n"/>
      <c r="B39" s="13" t="n">
        <v>5</v>
      </c>
      <c r="C39" s="13" t="n">
        <v>35</v>
      </c>
      <c r="D39" s="13" t="n"/>
      <c r="E39" s="13" t="n"/>
      <c r="F39" s="13" t="n"/>
      <c r="G39" s="13" t="n"/>
      <c r="H39" s="13" t="n"/>
    </row>
    <row r="40" ht="30" customHeight="1">
      <c r="A40" s="23" t="n"/>
      <c r="B40" s="17" t="n">
        <v>6</v>
      </c>
      <c r="C40" s="17" t="n">
        <v>36</v>
      </c>
      <c r="D40" s="17" t="n"/>
      <c r="E40" s="17" t="n"/>
      <c r="F40" s="17" t="n"/>
      <c r="G40" s="17" t="n"/>
      <c r="H40" s="17" t="n"/>
    </row>
    <row r="41" ht="30" customHeight="1">
      <c r="A41" s="22" t="n"/>
      <c r="B41" s="13" t="n">
        <v>6</v>
      </c>
      <c r="C41" s="13" t="n">
        <v>37</v>
      </c>
      <c r="D41" s="13" t="n"/>
      <c r="E41" s="13" t="n"/>
      <c r="F41" s="13" t="n"/>
      <c r="G41" s="13" t="n"/>
      <c r="H41" s="13" t="n"/>
    </row>
    <row r="42" ht="30" customHeight="1">
      <c r="A42" s="23" t="n"/>
      <c r="B42" s="17" t="n">
        <v>6</v>
      </c>
      <c r="C42" s="17" t="n">
        <v>38</v>
      </c>
      <c r="D42" s="17" t="n"/>
      <c r="E42" s="17" t="n"/>
      <c r="F42" s="17" t="n"/>
      <c r="G42" s="17" t="n"/>
      <c r="H42" s="17" t="n"/>
    </row>
    <row r="43" ht="30" customHeight="1">
      <c r="A43" s="22" t="n"/>
      <c r="B43" s="13" t="n">
        <v>6</v>
      </c>
      <c r="C43" s="13" t="n">
        <v>39</v>
      </c>
      <c r="D43" s="13" t="n"/>
      <c r="E43" s="13" t="n"/>
      <c r="F43" s="13" t="n"/>
      <c r="G43" s="13" t="n"/>
      <c r="H43" s="13" t="n"/>
    </row>
    <row r="44" ht="30" customHeight="1">
      <c r="A44" s="23" t="n"/>
      <c r="B44" s="17" t="n">
        <v>6</v>
      </c>
      <c r="C44" s="17" t="n">
        <v>40</v>
      </c>
      <c r="D44" s="17" t="n"/>
      <c r="E44" s="17" t="n"/>
      <c r="F44" s="17" t="n"/>
      <c r="G44" s="17" t="n"/>
      <c r="H44" s="17" t="n"/>
    </row>
    <row r="45" ht="30" customHeight="1">
      <c r="A45" s="22" t="n"/>
      <c r="B45" s="13" t="n">
        <v>6</v>
      </c>
      <c r="C45" s="13" t="n">
        <v>41</v>
      </c>
      <c r="D45" s="13" t="n"/>
      <c r="E45" s="13" t="n"/>
      <c r="F45" s="13" t="n"/>
      <c r="G45" s="13" t="n"/>
      <c r="H45" s="13" t="n"/>
    </row>
    <row r="46" ht="30" customHeight="1">
      <c r="A46" s="23" t="n"/>
      <c r="B46" s="17" t="n">
        <v>6</v>
      </c>
      <c r="C46" s="17" t="n">
        <v>42</v>
      </c>
      <c r="D46" s="17" t="n"/>
      <c r="E46" s="17" t="n"/>
      <c r="F46" s="17" t="n"/>
      <c r="G46" s="17" t="n"/>
      <c r="H46" s="17" t="n"/>
    </row>
    <row r="47" ht="30" customHeight="1">
      <c r="A47" s="22" t="n"/>
      <c r="B47" s="13" t="n">
        <v>7</v>
      </c>
      <c r="C47" s="13" t="n">
        <v>43</v>
      </c>
      <c r="D47" s="13" t="n"/>
      <c r="E47" s="13" t="n"/>
      <c r="F47" s="13" t="n"/>
      <c r="G47" s="13" t="n"/>
      <c r="H47" s="13" t="n"/>
    </row>
    <row r="48" ht="30" customHeight="1">
      <c r="A48" s="23" t="n"/>
      <c r="B48" s="17" t="n">
        <v>7</v>
      </c>
      <c r="C48" s="17" t="n">
        <v>44</v>
      </c>
      <c r="D48" s="17" t="n"/>
      <c r="E48" s="17" t="n"/>
      <c r="F48" s="17" t="n"/>
      <c r="G48" s="17" t="n"/>
      <c r="H48" s="17" t="n"/>
    </row>
    <row r="49" ht="30" customHeight="1">
      <c r="A49" s="22" t="n"/>
      <c r="B49" s="13" t="n">
        <v>7</v>
      </c>
      <c r="C49" s="13" t="n">
        <v>45</v>
      </c>
      <c r="D49" s="13" t="n"/>
      <c r="E49" s="13" t="n"/>
      <c r="F49" s="13" t="n"/>
      <c r="G49" s="13" t="n"/>
      <c r="H49" s="13" t="n"/>
    </row>
    <row r="50" ht="30" customHeight="1">
      <c r="A50" s="23" t="n"/>
      <c r="B50" s="17" t="n">
        <v>7</v>
      </c>
      <c r="C50" s="17" t="n">
        <v>46</v>
      </c>
      <c r="D50" s="17" t="n"/>
      <c r="E50" s="17" t="n"/>
      <c r="F50" s="17" t="n"/>
      <c r="G50" s="17" t="n"/>
      <c r="H50" s="17" t="n"/>
    </row>
    <row r="51" ht="30" customHeight="1">
      <c r="A51" s="22" t="n"/>
      <c r="B51" s="13" t="n">
        <v>7</v>
      </c>
      <c r="C51" s="13" t="n">
        <v>47</v>
      </c>
      <c r="D51" s="13" t="n"/>
      <c r="E51" s="13" t="n"/>
      <c r="F51" s="13" t="n"/>
      <c r="G51" s="13" t="n"/>
      <c r="H51" s="13" t="n"/>
    </row>
    <row r="52" ht="30" customHeight="1">
      <c r="A52" s="23" t="n"/>
      <c r="B52" s="17" t="n">
        <v>7</v>
      </c>
      <c r="C52" s="17" t="n">
        <v>48</v>
      </c>
      <c r="D52" s="17" t="n"/>
      <c r="E52" s="17" t="n"/>
      <c r="F52" s="17" t="n"/>
      <c r="G52" s="17" t="n"/>
      <c r="H52" s="17" t="n"/>
    </row>
    <row r="53" ht="30" customHeight="1">
      <c r="A53" s="22" t="n"/>
      <c r="B53" s="13" t="n">
        <v>7</v>
      </c>
      <c r="C53" s="13" t="n">
        <v>49</v>
      </c>
      <c r="D53" s="13" t="n"/>
      <c r="E53" s="13" t="n"/>
      <c r="F53" s="13" t="n"/>
      <c r="G53" s="13" t="n"/>
      <c r="H53" s="13" t="n"/>
    </row>
    <row r="54" ht="30" customHeight="1">
      <c r="A54" s="23" t="n"/>
      <c r="B54" s="17" t="n">
        <v>8</v>
      </c>
      <c r="C54" s="17" t="n">
        <v>50</v>
      </c>
      <c r="D54" s="17" t="n"/>
      <c r="E54" s="17" t="n"/>
      <c r="F54" s="17" t="n"/>
      <c r="G54" s="17" t="n"/>
      <c r="H54" s="17" t="n"/>
    </row>
    <row r="55" ht="30" customHeight="1">
      <c r="A55" s="22" t="n"/>
      <c r="B55" s="13" t="n">
        <v>8</v>
      </c>
      <c r="C55" s="13" t="n">
        <v>51</v>
      </c>
      <c r="D55" s="13" t="n"/>
      <c r="E55" s="13" t="n"/>
      <c r="F55" s="13" t="n"/>
      <c r="G55" s="13" t="n"/>
      <c r="H55" s="13" t="n"/>
    </row>
    <row r="56" ht="30" customHeight="1">
      <c r="A56" s="23" t="n"/>
      <c r="B56" s="17" t="n">
        <v>8</v>
      </c>
      <c r="C56" s="17" t="n">
        <v>52</v>
      </c>
      <c r="D56" s="17" t="n"/>
      <c r="E56" s="17" t="n"/>
      <c r="F56" s="17" t="n"/>
      <c r="G56" s="17" t="n"/>
      <c r="H56" s="17" t="n"/>
    </row>
    <row r="57" ht="30" customHeight="1">
      <c r="A57" s="22" t="n"/>
      <c r="B57" s="13" t="n">
        <v>8</v>
      </c>
      <c r="C57" s="13" t="n">
        <v>53</v>
      </c>
      <c r="D57" s="13" t="n"/>
      <c r="E57" s="13" t="n"/>
      <c r="F57" s="13" t="n"/>
      <c r="G57" s="13" t="n"/>
      <c r="H57" s="13" t="n"/>
    </row>
    <row r="58" ht="30" customHeight="1">
      <c r="A58" s="23" t="n"/>
      <c r="B58" s="17" t="n">
        <v>8</v>
      </c>
      <c r="C58" s="17" t="n">
        <v>54</v>
      </c>
      <c r="D58" s="17" t="n"/>
      <c r="E58" s="17" t="n"/>
      <c r="F58" s="17" t="n"/>
      <c r="G58" s="17" t="n"/>
      <c r="H58" s="17" t="n"/>
    </row>
    <row r="59" ht="30" customHeight="1">
      <c r="A59" s="22" t="n"/>
      <c r="B59" s="13" t="n">
        <v>8</v>
      </c>
      <c r="C59" s="13" t="n">
        <v>55</v>
      </c>
      <c r="D59" s="13" t="n"/>
      <c r="E59" s="13" t="n"/>
      <c r="F59" s="13" t="n"/>
      <c r="G59" s="13" t="n"/>
      <c r="H59" s="13" t="n"/>
    </row>
    <row r="60" ht="30" customHeight="1">
      <c r="A60" s="23" t="n"/>
      <c r="B60" s="17" t="n">
        <v>8</v>
      </c>
      <c r="C60" s="17" t="n">
        <v>56</v>
      </c>
      <c r="D60" s="17" t="n"/>
      <c r="E60" s="17" t="n"/>
      <c r="F60" s="17" t="n"/>
      <c r="G60" s="17" t="n"/>
      <c r="H60" s="17" t="n"/>
    </row>
    <row r="61" ht="30" customHeight="1">
      <c r="A61" s="22" t="n"/>
      <c r="B61" s="13" t="n">
        <v>9</v>
      </c>
      <c r="C61" s="13" t="n">
        <v>57</v>
      </c>
      <c r="D61" s="13" t="n"/>
      <c r="E61" s="13" t="n"/>
      <c r="F61" s="13" t="n"/>
      <c r="G61" s="13" t="n"/>
      <c r="H61" s="13" t="n"/>
    </row>
    <row r="62" ht="30" customHeight="1">
      <c r="A62" s="23" t="n"/>
      <c r="B62" s="17" t="n">
        <v>9</v>
      </c>
      <c r="C62" s="17" t="n">
        <v>58</v>
      </c>
      <c r="D62" s="17" t="n"/>
      <c r="E62" s="17" t="n"/>
      <c r="F62" s="17" t="n"/>
      <c r="G62" s="17" t="n"/>
      <c r="H62" s="17" t="n"/>
    </row>
    <row r="63" ht="30" customHeight="1">
      <c r="A63" s="22" t="n"/>
      <c r="B63" s="13" t="n">
        <v>9</v>
      </c>
      <c r="C63" s="13" t="n">
        <v>59</v>
      </c>
      <c r="D63" s="13" t="n"/>
      <c r="E63" s="13" t="n"/>
      <c r="F63" s="13" t="n"/>
      <c r="G63" s="13" t="n"/>
      <c r="H63" s="13" t="n"/>
    </row>
    <row r="64" ht="30" customHeight="1">
      <c r="A64" s="23" t="n"/>
      <c r="B64" s="17" t="n">
        <v>9</v>
      </c>
      <c r="C64" s="17" t="n">
        <v>60</v>
      </c>
      <c r="D64" s="17" t="n"/>
      <c r="E64" s="17" t="n"/>
      <c r="F64" s="17" t="n"/>
      <c r="G64" s="17" t="n"/>
      <c r="H64" s="17" t="n"/>
    </row>
    <row r="65" ht="30" customHeight="1">
      <c r="A65" s="22" t="n"/>
      <c r="B65" s="13" t="n">
        <v>9</v>
      </c>
      <c r="C65" s="13" t="n">
        <v>61</v>
      </c>
      <c r="D65" s="13" t="n"/>
      <c r="E65" s="13" t="n"/>
      <c r="F65" s="13" t="n"/>
      <c r="G65" s="13" t="n"/>
      <c r="H65" s="13" t="n"/>
    </row>
    <row r="66" ht="30" customHeight="1">
      <c r="A66" s="23" t="n"/>
      <c r="B66" s="17" t="n">
        <v>9</v>
      </c>
      <c r="C66" s="17" t="n">
        <v>62</v>
      </c>
      <c r="D66" s="17" t="n"/>
      <c r="E66" s="17" t="n"/>
      <c r="F66" s="17" t="n"/>
      <c r="G66" s="17" t="n"/>
      <c r="H66" s="17" t="n"/>
    </row>
    <row r="67" ht="30" customHeight="1">
      <c r="A67" s="22" t="n"/>
      <c r="B67" s="13" t="n">
        <v>9</v>
      </c>
      <c r="C67" s="13" t="n">
        <v>63</v>
      </c>
      <c r="D67" s="13" t="n"/>
      <c r="E67" s="13" t="n"/>
      <c r="F67" s="13" t="n"/>
      <c r="G67" s="13" t="n"/>
      <c r="H67" s="13" t="n"/>
    </row>
    <row r="68" ht="30" customHeight="1">
      <c r="A68" s="23" t="n"/>
      <c r="B68" s="17" t="n">
        <v>10</v>
      </c>
      <c r="C68" s="17" t="n">
        <v>64</v>
      </c>
      <c r="D68" s="17" t="n"/>
      <c r="E68" s="17" t="n"/>
      <c r="F68" s="17" t="n"/>
      <c r="G68" s="17" t="n"/>
      <c r="H68" s="17" t="n"/>
    </row>
    <row r="69" ht="30" customHeight="1">
      <c r="A69" s="22" t="n"/>
      <c r="B69" s="13" t="n">
        <v>10</v>
      </c>
      <c r="C69" s="13" t="n">
        <v>65</v>
      </c>
      <c r="D69" s="13" t="n"/>
      <c r="E69" s="13" t="n"/>
      <c r="F69" s="13" t="n"/>
      <c r="G69" s="13" t="n"/>
      <c r="H69" s="13" t="n"/>
    </row>
    <row r="70" ht="30" customHeight="1">
      <c r="A70" s="23" t="n"/>
      <c r="B70" s="17" t="n">
        <v>10</v>
      </c>
      <c r="C70" s="17" t="n">
        <v>66</v>
      </c>
      <c r="D70" s="17" t="n"/>
      <c r="E70" s="17" t="n"/>
      <c r="F70" s="17" t="n"/>
      <c r="G70" s="17" t="n"/>
      <c r="H70" s="17" t="n"/>
    </row>
    <row r="71" ht="30" customHeight="1">
      <c r="A71" s="22" t="n"/>
      <c r="B71" s="13" t="n">
        <v>10</v>
      </c>
      <c r="C71" s="13" t="n">
        <v>67</v>
      </c>
      <c r="D71" s="13" t="n"/>
      <c r="E71" s="13" t="n"/>
      <c r="F71" s="13" t="n"/>
      <c r="G71" s="13" t="n"/>
      <c r="H71" s="13" t="n"/>
    </row>
    <row r="72" ht="30" customHeight="1">
      <c r="A72" s="23" t="n"/>
      <c r="B72" s="17" t="n">
        <v>10</v>
      </c>
      <c r="C72" s="17" t="n">
        <v>68</v>
      </c>
      <c r="D72" s="17" t="n"/>
      <c r="E72" s="17" t="n"/>
      <c r="F72" s="17" t="n"/>
      <c r="G72" s="17" t="n"/>
      <c r="H72" s="17" t="n"/>
    </row>
    <row r="73" ht="30" customHeight="1">
      <c r="A73" s="22" t="n"/>
      <c r="B73" s="13" t="n">
        <v>10</v>
      </c>
      <c r="C73" s="13" t="n">
        <v>69</v>
      </c>
      <c r="D73" s="13" t="n"/>
      <c r="E73" s="13" t="n"/>
      <c r="F73" s="13" t="n"/>
      <c r="G73" s="13" t="n"/>
      <c r="H73" s="13" t="n"/>
    </row>
    <row r="74" ht="30" customHeight="1">
      <c r="A74" s="23" t="n"/>
      <c r="B74" s="17" t="n">
        <v>10</v>
      </c>
      <c r="C74" s="17" t="n">
        <v>70</v>
      </c>
      <c r="D74" s="17" t="n"/>
      <c r="E74" s="17" t="n"/>
      <c r="F74" s="17" t="n"/>
      <c r="G74" s="17" t="n"/>
      <c r="H74" s="17" t="n"/>
    </row>
  </sheetData>
  <autoFilter ref="A4:H7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2026-06-26T16:23:54Z</dcterms:created>
  <dcterms:modified xsi:type="dcterms:W3CDTF">2026-06-26T16:23:54Z</dcterms:modified>
</cp:coreProperties>
</file>